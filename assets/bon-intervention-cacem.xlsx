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rsulet\Downloads\JORIS\"/>
    </mc:Choice>
  </mc:AlternateContent>
  <xr:revisionPtr revIDLastSave="0" documentId="13_ncr:1_{FEBCA563-AC38-464C-A323-1FD07526DCB6}" xr6:coauthVersionLast="47" xr6:coauthVersionMax="47" xr10:uidLastSave="{00000000-0000-0000-0000-000000000000}"/>
  <bookViews>
    <workbookView xWindow="-6660" yWindow="-21720" windowWidth="38640" windowHeight="21120" xr2:uid="{00000000-000D-0000-FFFF-FFFF00000000}"/>
  </bookViews>
  <sheets>
    <sheet name="SAISIE" sheetId="1" r:id="rId1"/>
    <sheet name="MARCHE" sheetId="2" r:id="rId2"/>
    <sheet name="VEHICULES" sheetId="3" r:id="rId3"/>
    <sheet name="TARIFS_PNEUS" sheetId="4" r:id="rId4"/>
    <sheet name="TARIFS_PRESTATIONS" sheetId="5" r:id="rId5"/>
    <sheet name="CENTRES" sheetId="6" r:id="rId6"/>
    <sheet name="HISTORIQUE" sheetId="7" r:id="rId7"/>
    <sheet name="OUTLOOK_MACRO" sheetId="8" r:id="rId8"/>
  </sheets>
  <definedNames>
    <definedName name="CENTRES_LIST">CENTRES!$B$2:$B$20</definedName>
    <definedName name="PRESTATIONS_LIST">TARIFS_PRESTATIONS!$B$2:$B$100</definedName>
    <definedName name="VEHICULES_LIST">VEHICULES!$B$2:$B$500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B27" i="1"/>
  <c r="B26" i="1"/>
  <c r="I19" i="1"/>
  <c r="G19" i="1"/>
  <c r="H19" i="1" s="1"/>
  <c r="E19" i="1"/>
  <c r="I18" i="1"/>
  <c r="G18" i="1"/>
  <c r="H18" i="1" s="1"/>
  <c r="E18" i="1"/>
  <c r="I17" i="1"/>
  <c r="G17" i="1"/>
  <c r="H17" i="1" s="1"/>
  <c r="E17" i="1"/>
  <c r="I16" i="1"/>
  <c r="G16" i="1"/>
  <c r="H16" i="1" s="1"/>
  <c r="E16" i="1"/>
  <c r="I15" i="1"/>
  <c r="G15" i="1"/>
  <c r="H15" i="1" s="1"/>
  <c r="E15" i="1"/>
  <c r="I14" i="1"/>
  <c r="G14" i="1"/>
  <c r="H14" i="1" s="1"/>
  <c r="E14" i="1"/>
  <c r="I13" i="1"/>
  <c r="G13" i="1"/>
  <c r="H13" i="1" s="1"/>
  <c r="E13" i="1"/>
  <c r="H9" i="1"/>
  <c r="E9" i="1"/>
  <c r="H6" i="1"/>
  <c r="E5" i="1" s="1"/>
  <c r="E4" i="1"/>
  <c r="B4" i="1"/>
  <c r="H21" i="1" l="1"/>
</calcChain>
</file>

<file path=xl/sharedStrings.xml><?xml version="1.0" encoding="utf-8"?>
<sst xmlns="http://schemas.openxmlformats.org/spreadsheetml/2006/main" count="2306" uniqueCount="636">
  <si>
    <t>BON D'INTERVENTION — Marché 25.061 (CACEM)</t>
  </si>
  <si>
    <t>1) Choisir centre + immat  2) Verifier les 2 lignes AVANT/ARRIERE  3) Cliquer le bouton vert ENVOYER</t>
  </si>
  <si>
    <t>N° bon</t>
  </si>
  <si>
    <t>Date</t>
  </si>
  <si>
    <t>Marché</t>
  </si>
  <si>
    <t>25.061</t>
  </si>
  <si>
    <t>N° engagement</t>
  </si>
  <si>
    <t>Lot</t>
  </si>
  <si>
    <t>Centre ▼</t>
  </si>
  <si>
    <t>Pneu Cash Schoelcher</t>
  </si>
  <si>
    <t>Demandeur</t>
  </si>
  <si>
    <t>Kilométrage</t>
  </si>
  <si>
    <t>Lot suggéré</t>
  </si>
  <si>
    <t>Ordre : Centre (H5) → Immat (B9) → Engagement (B5) → bouton vert</t>
  </si>
  <si>
    <t>VÉHICULE</t>
  </si>
  <si>
    <t>Immatriculation</t>
  </si>
  <si>
    <t>Marque</t>
  </si>
  <si>
    <t>Modèle</t>
  </si>
  <si>
    <t>LIGNES DE PRESTATION (tarifs BPU marché 25.061)</t>
  </si>
  <si>
    <t>Ligne</t>
  </si>
  <si>
    <t>Type</t>
  </si>
  <si>
    <t>Prestation / libellé</t>
  </si>
  <si>
    <t>Emplacement</t>
  </si>
  <si>
    <t>Dimension</t>
  </si>
  <si>
    <t>Qté</t>
  </si>
  <si>
    <t>Prix unit. HT (BPU)</t>
  </si>
  <si>
    <t>Total HT</t>
  </si>
  <si>
    <t>Réf BPU</t>
  </si>
  <si>
    <t>Pneumatique neuf</t>
  </si>
  <si>
    <t>AVANT</t>
  </si>
  <si>
    <t>ARRIERE</t>
  </si>
  <si>
    <t>TOTAL HT</t>
  </si>
  <si>
    <t>Email centre</t>
  </si>
  <si>
    <t>Copie coordination</t>
  </si>
  <si>
    <t>Alternative : double-cliquez EnvoyerBon.vbs dans le dossier JORIS si le bouton ne répond pas.</t>
  </si>
  <si>
    <t>INFORMATIONS MARCHÉ</t>
  </si>
  <si>
    <t>Consultation</t>
  </si>
  <si>
    <t>202507011207</t>
  </si>
  <si>
    <t>Référence marché</t>
  </si>
  <si>
    <t>Maître d'ouvrage</t>
  </si>
  <si>
    <t>CACEM</t>
  </si>
  <si>
    <t>Objet</t>
  </si>
  <si>
    <t>Fourniture de pneumatiques et services associés</t>
  </si>
  <si>
    <t>Lot 1</t>
  </si>
  <si>
    <t>Pneumatiques véhicules légers et SUV — Pneu Cash</t>
  </si>
  <si>
    <t>Lot 2</t>
  </si>
  <si>
    <t>Pneumatiques véhicules utilitaires — Pneu Cash</t>
  </si>
  <si>
    <t>Lot 3</t>
  </si>
  <si>
    <t>Pneumatiques poids lourds / spécifiques — SOMAREC (BPU scanné, voir PDF)</t>
  </si>
  <si>
    <t>Documents</t>
  </si>
  <si>
    <t>2025MP061BPU_Lot_1 / LOT_2 / Lot_3_BPU.pdf</t>
  </si>
  <si>
    <t>Facturation</t>
  </si>
  <si>
    <t>Immatriculation + N° engagement + N° bon d'intervention</t>
  </si>
  <si>
    <t>ID</t>
  </si>
  <si>
    <t>Modele</t>
  </si>
  <si>
    <t>Prix</t>
  </si>
  <si>
    <t>Cle_immat_emp</t>
  </si>
  <si>
    <t>Lot_suggere</t>
  </si>
  <si>
    <t>Cle_tarif</t>
  </si>
  <si>
    <t>307 BCL 972</t>
  </si>
  <si>
    <t>RENAULT</t>
  </si>
  <si>
    <t>EPAREUSE</t>
  </si>
  <si>
    <t>400/80-R24</t>
  </si>
  <si>
    <t>307 BCL 972|AVANT</t>
  </si>
  <si>
    <t>400/80 R24</t>
  </si>
  <si>
    <t>480/80-R34</t>
  </si>
  <si>
    <t>307 BCL 972|ARRIERE</t>
  </si>
  <si>
    <t>480/80 R34</t>
  </si>
  <si>
    <t>309 BCL 972</t>
  </si>
  <si>
    <t>309 BCL 972|AVANT</t>
  </si>
  <si>
    <t>309 BCL 972|ARRIERE</t>
  </si>
  <si>
    <t>656 BAV 972</t>
  </si>
  <si>
    <t>MASCOTT</t>
  </si>
  <si>
    <t>215/75-R16C</t>
  </si>
  <si>
    <t>656 BAV 972|AVANT</t>
  </si>
  <si>
    <t>215/75 R16C</t>
  </si>
  <si>
    <t>656 BAV 972|ARRIERE</t>
  </si>
  <si>
    <t>CH 168 VP</t>
  </si>
  <si>
    <t>SA ECIM</t>
  </si>
  <si>
    <t>REMORQUE</t>
  </si>
  <si>
    <t>4.50-10</t>
  </si>
  <si>
    <t>CH 168 VP|AVANT</t>
  </si>
  <si>
    <t>CH 168 VP|ARRIERE</t>
  </si>
  <si>
    <t>CJ 577 ZK</t>
  </si>
  <si>
    <t>IVECO</t>
  </si>
  <si>
    <t>50C15</t>
  </si>
  <si>
    <t>195/75 R16 C 110/108 R</t>
  </si>
  <si>
    <t>CJ 577 ZK|AVANT</t>
  </si>
  <si>
    <t>195/75 R16C</t>
  </si>
  <si>
    <t>CJ 577 ZK|ARRIERE</t>
  </si>
  <si>
    <t>CJ 617 ZK</t>
  </si>
  <si>
    <t>CJ 617 ZK|AVANT</t>
  </si>
  <si>
    <t>CJ 617 ZK|ARRIERE</t>
  </si>
  <si>
    <t>CK 104 PT</t>
  </si>
  <si>
    <t>MAN</t>
  </si>
  <si>
    <t>CAMION</t>
  </si>
  <si>
    <t>385/65 R 22,5</t>
  </si>
  <si>
    <t>CK 104 PT|AVANT</t>
  </si>
  <si>
    <t>385/65 R22.5</t>
  </si>
  <si>
    <t>CK 104 PT|ARRIERE</t>
  </si>
  <si>
    <t>CW 532 MQ</t>
  </si>
  <si>
    <t>TS INDUSTRIE</t>
  </si>
  <si>
    <t>450 MT BROYEUR</t>
  </si>
  <si>
    <t>185/R14C</t>
  </si>
  <si>
    <t>CW 532 MQ|AVANT</t>
  </si>
  <si>
    <t>CW 532 MQ|ARRIERE</t>
  </si>
  <si>
    <t>DK 257 AP</t>
  </si>
  <si>
    <t>DK 257 AP|AVANT</t>
  </si>
  <si>
    <t>DK 257 AP|ARRIERE</t>
  </si>
  <si>
    <t>DN 222 TP</t>
  </si>
  <si>
    <t>450 M BROYEUR</t>
  </si>
  <si>
    <t>DN 222 TP|AVANT</t>
  </si>
  <si>
    <t>DN 222 TP|ARRIERE</t>
  </si>
  <si>
    <t>EK 316 YQ</t>
  </si>
  <si>
    <t>TOYOTA</t>
  </si>
  <si>
    <t>YARIS HYBRID</t>
  </si>
  <si>
    <t>185/65 R15 88H</t>
  </si>
  <si>
    <t>EK 316 YQ|AVANT</t>
  </si>
  <si>
    <t>185/65 R15</t>
  </si>
  <si>
    <t>EK 316 YQ|ARRIERE</t>
  </si>
  <si>
    <t>ES 220 QL</t>
  </si>
  <si>
    <t>LIDER</t>
  </si>
  <si>
    <t>ES 220 QL|AVANT</t>
  </si>
  <si>
    <t>ES 220 QL|ARRIERE</t>
  </si>
  <si>
    <t>ES 227 QL</t>
  </si>
  <si>
    <t>ES 227 QL|AVANT</t>
  </si>
  <si>
    <t>ES 227 QL|ARRIERE</t>
  </si>
  <si>
    <t>ES 645 GE</t>
  </si>
  <si>
    <t>KUBOTA</t>
  </si>
  <si>
    <t>360/80-R24</t>
  </si>
  <si>
    <t>ES 645 GE|AVANT</t>
  </si>
  <si>
    <t>360/80 R24</t>
  </si>
  <si>
    <t>ES 645 GE|ARRIERE</t>
  </si>
  <si>
    <t>ET 032 GZ</t>
  </si>
  <si>
    <t>NISSAN</t>
  </si>
  <si>
    <t>NAVARA</t>
  </si>
  <si>
    <t>255/70 R16 111T</t>
  </si>
  <si>
    <t>ET 032 GZ|AVANT</t>
  </si>
  <si>
    <t>255/70 R16</t>
  </si>
  <si>
    <t>ET 032 GZ|ARRIERE</t>
  </si>
  <si>
    <t>ET 313 TB</t>
  </si>
  <si>
    <t>ET 313 TB|AVANT</t>
  </si>
  <si>
    <t>ET 313 TB|ARRIERE</t>
  </si>
  <si>
    <t>FC 135 CB</t>
  </si>
  <si>
    <t>MASTER L2H2P2</t>
  </si>
  <si>
    <t>215/65 R16 C</t>
  </si>
  <si>
    <t>FC 135 CB|AVANT</t>
  </si>
  <si>
    <t>215/65 R16C</t>
  </si>
  <si>
    <t>FC 135 CB|ARRIERE</t>
  </si>
  <si>
    <t>FC 478 SC</t>
  </si>
  <si>
    <t>ISUZU</t>
  </si>
  <si>
    <t>FC 478 SC|AVANT</t>
  </si>
  <si>
    <t>FC 478 SC|ARRIERE</t>
  </si>
  <si>
    <t>FJ 034 ZS</t>
  </si>
  <si>
    <t>COROLLA</t>
  </si>
  <si>
    <t>205/55 R16 91V</t>
  </si>
  <si>
    <t>FJ 034 ZS|AVANT</t>
  </si>
  <si>
    <t>205/55 R16</t>
  </si>
  <si>
    <t>FJ 034 ZS|ARRIERE</t>
  </si>
  <si>
    <t>FJ 055 QP</t>
  </si>
  <si>
    <t>ZOE</t>
  </si>
  <si>
    <t>FJ 055 QP|AVANT</t>
  </si>
  <si>
    <t>FJ 055 QP|ARRIERE</t>
  </si>
  <si>
    <t>FJ 068 ZR</t>
  </si>
  <si>
    <t>FJ 068 ZR|AVANT</t>
  </si>
  <si>
    <t>FJ 068 ZR|ARRIERE</t>
  </si>
  <si>
    <t>FJ 070 TN</t>
  </si>
  <si>
    <t>CITROEN</t>
  </si>
  <si>
    <t>BERLINGO</t>
  </si>
  <si>
    <t>195/65 R15 91H</t>
  </si>
  <si>
    <t>FJ 070 TN|AVANT</t>
  </si>
  <si>
    <t>195/65 R15</t>
  </si>
  <si>
    <t>FJ 070 TN|ARRIERE</t>
  </si>
  <si>
    <t>FJ 172 TN</t>
  </si>
  <si>
    <t>FJ 172 TN|AVANT</t>
  </si>
  <si>
    <t>FJ 172 TN|ARRIERE</t>
  </si>
  <si>
    <t>FJ 282 ZR</t>
  </si>
  <si>
    <t>FJ 282 ZR|AVANT</t>
  </si>
  <si>
    <t>FJ 282 ZR|ARRIERE</t>
  </si>
  <si>
    <t>FJ 420 TN</t>
  </si>
  <si>
    <t>FJ 420 TN|AVANT</t>
  </si>
  <si>
    <t>FJ 420 TN|ARRIERE</t>
  </si>
  <si>
    <t>FJ 494 ZR</t>
  </si>
  <si>
    <t>FJ 494 ZR|AVANT</t>
  </si>
  <si>
    <t>FJ 494 ZR|ARRIERE</t>
  </si>
  <si>
    <t>FJ 499 BQ</t>
  </si>
  <si>
    <t>MASTER L1H1P1</t>
  </si>
  <si>
    <t>FJ 499 BQ|AVANT</t>
  </si>
  <si>
    <t>FJ 499 BQ|ARRIERE</t>
  </si>
  <si>
    <t>FJ 748 QN</t>
  </si>
  <si>
    <t>FJ 748 QN|AVANT</t>
  </si>
  <si>
    <t>FJ 748 QN|ARRIERE</t>
  </si>
  <si>
    <t>FJ 795 QN</t>
  </si>
  <si>
    <t>FJ 795 QN|AVANT</t>
  </si>
  <si>
    <t>FJ 795 QN|ARRIERE</t>
  </si>
  <si>
    <t>FJ 820 WS</t>
  </si>
  <si>
    <t>PEUGEOT</t>
  </si>
  <si>
    <t>BOXER</t>
  </si>
  <si>
    <t>215/70 R15 C</t>
  </si>
  <si>
    <t>FJ 820 WS|AVANT</t>
  </si>
  <si>
    <t>215/70 R15C</t>
  </si>
  <si>
    <t>FJ 820 WS|ARRIERE</t>
  </si>
  <si>
    <t>FJ 839 QN</t>
  </si>
  <si>
    <t>FJ 839 QN|AVANT</t>
  </si>
  <si>
    <t>FJ 839 QN|ARRIERE</t>
  </si>
  <si>
    <t>FJ 885 QN</t>
  </si>
  <si>
    <t>FJ 885 QN|AVANT</t>
  </si>
  <si>
    <t>FJ 885 QN|ARRIERE</t>
  </si>
  <si>
    <t>FJ 914 HB</t>
  </si>
  <si>
    <t>FJ 914 HB|AVANT</t>
  </si>
  <si>
    <t>FJ 914 HB|ARRIERE</t>
  </si>
  <si>
    <t>FJ 935 QN</t>
  </si>
  <si>
    <t>FJ 935 QN|AVANT</t>
  </si>
  <si>
    <t>FJ 935 QN|ARRIERE</t>
  </si>
  <si>
    <t>FJ 937 TM</t>
  </si>
  <si>
    <t>FJ 937 TM|AVANT</t>
  </si>
  <si>
    <t>FJ 937 TM|ARRIERE</t>
  </si>
  <si>
    <t>FJ 974 QN</t>
  </si>
  <si>
    <t>FJ 974 QN|AVANT</t>
  </si>
  <si>
    <t>FJ 974 QN|ARRIERE</t>
  </si>
  <si>
    <t>FJ 987 ZR</t>
  </si>
  <si>
    <t>FJ 987 ZR|AVANT</t>
  </si>
  <si>
    <t>FJ 987 ZR|ARRIERE</t>
  </si>
  <si>
    <t>FK 399 LP</t>
  </si>
  <si>
    <t>FK 399 LP|AVANT</t>
  </si>
  <si>
    <t>FK 399 LP|ARRIERE</t>
  </si>
  <si>
    <t>FK 435 XL</t>
  </si>
  <si>
    <t>FK 435 XL|AVANT</t>
  </si>
  <si>
    <t>FK 435 XL|ARRIERE</t>
  </si>
  <si>
    <t>FK 520 LL</t>
  </si>
  <si>
    <t>FK 520 LL|AVANT</t>
  </si>
  <si>
    <t>FK 520 LL|ARRIERE</t>
  </si>
  <si>
    <t>FK 670 NN</t>
  </si>
  <si>
    <t>FK 670 NN|AVANT</t>
  </si>
  <si>
    <t>FK 670 NN|ARRIERE</t>
  </si>
  <si>
    <t>FK 911 LP</t>
  </si>
  <si>
    <t>FK 911 LP|AVANT</t>
  </si>
  <si>
    <t>FK 911 LP|ARRIERE</t>
  </si>
  <si>
    <t>FK 929 NN</t>
  </si>
  <si>
    <t>FK 929 NN|AVANT</t>
  </si>
  <si>
    <t>FK 929 NN|ARRIERE</t>
  </si>
  <si>
    <t>FK 959 LL</t>
  </si>
  <si>
    <t>FK 959 LL|AVANT</t>
  </si>
  <si>
    <t>FK 959 LL|ARRIERE</t>
  </si>
  <si>
    <t>FL 782 KK</t>
  </si>
  <si>
    <t>FL 782 KK|AVANT</t>
  </si>
  <si>
    <t>FL 782 KK|ARRIERE</t>
  </si>
  <si>
    <t>FL 811 KK</t>
  </si>
  <si>
    <t>FL 811 KK|AVANT</t>
  </si>
  <si>
    <t>FL 811 KK|ARRIERE</t>
  </si>
  <si>
    <t>GD 008 VK</t>
  </si>
  <si>
    <t>GD 008 VK|AVANT</t>
  </si>
  <si>
    <t>GD 008 VK|ARRIERE</t>
  </si>
  <si>
    <t>GD 105 VK</t>
  </si>
  <si>
    <t>GD 105 VK|AVANT</t>
  </si>
  <si>
    <t>GD 105 VK|ARRIERE</t>
  </si>
  <si>
    <t>GD 361 VK</t>
  </si>
  <si>
    <t>GD 361 VK|AVANT</t>
  </si>
  <si>
    <t>GD 361 VK|ARRIERE</t>
  </si>
  <si>
    <t>GD 371 VM</t>
  </si>
  <si>
    <t>GD 371 VM|AVANT</t>
  </si>
  <si>
    <t>GD 371 VM|ARRIERE</t>
  </si>
  <si>
    <t>GD 567 VK</t>
  </si>
  <si>
    <t>GD 567 VK|AVANT</t>
  </si>
  <si>
    <t>GD 567 VK|ARRIERE</t>
  </si>
  <si>
    <t>GD 691 VK</t>
  </si>
  <si>
    <t>GD 691 VK|AVANT</t>
  </si>
  <si>
    <t>GD 691 VK|ARRIERE</t>
  </si>
  <si>
    <t>GD 744 VJ</t>
  </si>
  <si>
    <t>GD 744 VJ|AVANT</t>
  </si>
  <si>
    <t>GD 744 VJ|ARRIERE</t>
  </si>
  <si>
    <t>GD 786 VJ</t>
  </si>
  <si>
    <t>GD 786 VJ|AVANT</t>
  </si>
  <si>
    <t>GD 786 VJ|ARRIERE</t>
  </si>
  <si>
    <t>GD 857 VJ</t>
  </si>
  <si>
    <t>GD 857 VJ|AVANT</t>
  </si>
  <si>
    <t>GD 857 VJ|ARRIERE</t>
  </si>
  <si>
    <t>GD 881 VJ</t>
  </si>
  <si>
    <t>GD 881 VJ|AVANT</t>
  </si>
  <si>
    <t>GD 881 VJ|ARRIERE</t>
  </si>
  <si>
    <t>GD 943 VJ</t>
  </si>
  <si>
    <t>GD 943 VJ|AVANT</t>
  </si>
  <si>
    <t>GD 943 VJ|ARRIERE</t>
  </si>
  <si>
    <t>GE 652 ED</t>
  </si>
  <si>
    <t>GE 652 ED|AVANT</t>
  </si>
  <si>
    <t>GE 652 ED|ARRIERE</t>
  </si>
  <si>
    <t>GE 704 ED</t>
  </si>
  <si>
    <t>GE 704 ED|AVANT</t>
  </si>
  <si>
    <t>GE 704 ED|ARRIERE</t>
  </si>
  <si>
    <t>GE 734 ED</t>
  </si>
  <si>
    <t>GE 734 ED|AVANT</t>
  </si>
  <si>
    <t>GE 734 ED|ARRIERE</t>
  </si>
  <si>
    <t>GE 751 ED</t>
  </si>
  <si>
    <t>GE 751 ED|AVANT</t>
  </si>
  <si>
    <t>GE 751 ED|ARRIERE</t>
  </si>
  <si>
    <t>GE 764 ED</t>
  </si>
  <si>
    <t>GE 764 ED|AVANT</t>
  </si>
  <si>
    <t>GE 764 ED|ARRIERE</t>
  </si>
  <si>
    <t>GE 788 ED</t>
  </si>
  <si>
    <t>GE 788 ED|AVANT</t>
  </si>
  <si>
    <t>GE 788 ED|ARRIERE</t>
  </si>
  <si>
    <t>GE 803 ED</t>
  </si>
  <si>
    <t>GE 803 ED|AVANT</t>
  </si>
  <si>
    <t>GE 803 ED|ARRIERE</t>
  </si>
  <si>
    <t>GE 811 ED</t>
  </si>
  <si>
    <t>GE 811 ED|AVANT</t>
  </si>
  <si>
    <t>GE 811 ED|ARRIERE</t>
  </si>
  <si>
    <t>GF 062 HG</t>
  </si>
  <si>
    <t>GF 062 HG|AVANT</t>
  </si>
  <si>
    <t>GF 062 HG|ARRIERE</t>
  </si>
  <si>
    <t>GF 118 HG</t>
  </si>
  <si>
    <t>GF 118 HG|AVANT</t>
  </si>
  <si>
    <t>GF 118 HG|ARRIERE</t>
  </si>
  <si>
    <t>GF 137 HG</t>
  </si>
  <si>
    <t>GF 137 HG|AVANT</t>
  </si>
  <si>
    <t>GF 137 HG|ARRIERE</t>
  </si>
  <si>
    <t>GF 169 HG</t>
  </si>
  <si>
    <t>GF 169 HG|AVANT</t>
  </si>
  <si>
    <t>GF 169 HG|ARRIERE</t>
  </si>
  <si>
    <t>GF 203 HG</t>
  </si>
  <si>
    <t>GF 203 HG|AVANT</t>
  </si>
  <si>
    <t>GF 203 HG|ARRIERE</t>
  </si>
  <si>
    <t>GF 238 HG</t>
  </si>
  <si>
    <t>GF 238 HG|AVANT</t>
  </si>
  <si>
    <t>GF 238 HG|ARRIERE</t>
  </si>
  <si>
    <t>GF 258 HG</t>
  </si>
  <si>
    <t>GF 258 HG|AVANT</t>
  </si>
  <si>
    <t>GF 258 HG|ARRIERE</t>
  </si>
  <si>
    <t>GF 294 HG</t>
  </si>
  <si>
    <t>GF 294 HG|AVANT</t>
  </si>
  <si>
    <t>GF 294 HG|ARRIERE</t>
  </si>
  <si>
    <t>GF 319 HG</t>
  </si>
  <si>
    <t>GF 319 HG|AVANT</t>
  </si>
  <si>
    <t>GF 319 HG|ARRIERE</t>
  </si>
  <si>
    <t>GF 359 HG</t>
  </si>
  <si>
    <t>GF 359 HG|AVANT</t>
  </si>
  <si>
    <t>GF 359 HG|ARRIERE</t>
  </si>
  <si>
    <t>GF 387 HG</t>
  </si>
  <si>
    <t>GF 387 HG|AVANT</t>
  </si>
  <si>
    <t>GF 387 HG|ARRIERE</t>
  </si>
  <si>
    <t>GF 406 HG</t>
  </si>
  <si>
    <t>GF 406 HG|AVANT</t>
  </si>
  <si>
    <t>GF 406 HG|ARRIERE</t>
  </si>
  <si>
    <t>GF 426 HG</t>
  </si>
  <si>
    <t>GF 426 HG|AVANT</t>
  </si>
  <si>
    <t>GF 426 HG|ARRIERE</t>
  </si>
  <si>
    <t>GF 675 HF</t>
  </si>
  <si>
    <t>GF 675 HF|AVANT</t>
  </si>
  <si>
    <t>GF 675 HF|ARRIERE</t>
  </si>
  <si>
    <t>GF 959 HF</t>
  </si>
  <si>
    <t>GF 959 HF|AVANT</t>
  </si>
  <si>
    <t>GF 959 HF|ARRIERE</t>
  </si>
  <si>
    <t>GF 998 HF</t>
  </si>
  <si>
    <t>GF 998 HF|AVANT</t>
  </si>
  <si>
    <t>GF 998 HF|ARRIERE</t>
  </si>
  <si>
    <t>GG 675 YC</t>
  </si>
  <si>
    <t>NACELLE</t>
  </si>
  <si>
    <t>GG 675 YC|AVANT</t>
  </si>
  <si>
    <t>GG 675 YC|ARRIERE</t>
  </si>
  <si>
    <t>GK 764 VB</t>
  </si>
  <si>
    <t>SEE</t>
  </si>
  <si>
    <t>BROYEUR</t>
  </si>
  <si>
    <t>GK 764 VB|AVANT</t>
  </si>
  <si>
    <t>GK 764 VB|ARRIERE</t>
  </si>
  <si>
    <t>GN 378 DK</t>
  </si>
  <si>
    <t>KIA</t>
  </si>
  <si>
    <t>SORENTO</t>
  </si>
  <si>
    <t>235/55 R19 105H</t>
  </si>
  <si>
    <t>GN 378 DK|AVANT</t>
  </si>
  <si>
    <t>235/55 R19</t>
  </si>
  <si>
    <t>GN 378 DK|ARRIERE</t>
  </si>
  <si>
    <t>GR 051 QN</t>
  </si>
  <si>
    <t>GR 051 QN|AVANT</t>
  </si>
  <si>
    <t>GR 051 QN|ARRIERE</t>
  </si>
  <si>
    <t>GR 139 VN</t>
  </si>
  <si>
    <t>HILUX</t>
  </si>
  <si>
    <t>265/65 R17 112S</t>
  </si>
  <si>
    <t>GR 139 VN|AVANT</t>
  </si>
  <si>
    <t>265/65 R17</t>
  </si>
  <si>
    <t>GR 139 VN|ARRIERE</t>
  </si>
  <si>
    <t>GR 185 QN</t>
  </si>
  <si>
    <t>GR 185 QN|AVANT</t>
  </si>
  <si>
    <t>GR 185 QN|ARRIERE</t>
  </si>
  <si>
    <t>GR 190 FJ</t>
  </si>
  <si>
    <t>GR 190 FJ|AVANT</t>
  </si>
  <si>
    <t>GR 190 FJ|ARRIERE</t>
  </si>
  <si>
    <t>GR 195 FJ</t>
  </si>
  <si>
    <t>PARTNER</t>
  </si>
  <si>
    <t>265/65 R16 98H</t>
  </si>
  <si>
    <t>GR 195 FJ|AVANT</t>
  </si>
  <si>
    <t>265/65 R16</t>
  </si>
  <si>
    <t>GR 195 FJ|ARRIERE</t>
  </si>
  <si>
    <t>GR 198 FJ</t>
  </si>
  <si>
    <t>GR 198 FJ|AVANT</t>
  </si>
  <si>
    <t>GR 198 FJ|ARRIERE</t>
  </si>
  <si>
    <t>GR 205 FJ</t>
  </si>
  <si>
    <t>GR 205 FJ|AVANT</t>
  </si>
  <si>
    <t>GR 205 FJ|ARRIERE</t>
  </si>
  <si>
    <t>GR 239 DR</t>
  </si>
  <si>
    <t>GR 239 DR|AVANT</t>
  </si>
  <si>
    <t>GR 239 DR|ARRIERE</t>
  </si>
  <si>
    <t>GR 330 DR</t>
  </si>
  <si>
    <t>GR 330 DR|AVANT</t>
  </si>
  <si>
    <t>GR 330 DR|ARRIERE</t>
  </si>
  <si>
    <t>GR 409 QN</t>
  </si>
  <si>
    <t>GR 409 QN|AVANT</t>
  </si>
  <si>
    <t>GR 409 QN|ARRIERE</t>
  </si>
  <si>
    <t>GR 414 DR</t>
  </si>
  <si>
    <t>GR 414 DR|AVANT</t>
  </si>
  <si>
    <t>GR 414 DR|ARRIERE</t>
  </si>
  <si>
    <t>GR 535 DR</t>
  </si>
  <si>
    <t>GR 535 DR|AVANT</t>
  </si>
  <si>
    <t>GR 535 DR|ARRIERE</t>
  </si>
  <si>
    <t>GR 548 QN</t>
  </si>
  <si>
    <t>GR 548 QN|AVANT</t>
  </si>
  <si>
    <t>GR 548 QN|ARRIERE</t>
  </si>
  <si>
    <t>GR 606 DR</t>
  </si>
  <si>
    <t>GR 606 DR|AVANT</t>
  </si>
  <si>
    <t>GR 606 DR|ARRIERE</t>
  </si>
  <si>
    <t>GR 610 CA</t>
  </si>
  <si>
    <t>TGE</t>
  </si>
  <si>
    <t>205/65 R16 C 107/105 R</t>
  </si>
  <si>
    <t>GR 610 CA|AVANT</t>
  </si>
  <si>
    <t>205/65 R16C</t>
  </si>
  <si>
    <t>GR 610 CA|ARRIERE</t>
  </si>
  <si>
    <t>GR 760 QM</t>
  </si>
  <si>
    <t>GR 760 QM|AVANT</t>
  </si>
  <si>
    <t>GR 760 QM|ARRIERE</t>
  </si>
  <si>
    <t>GR 784 BZ</t>
  </si>
  <si>
    <t>GR 784 BZ|AVANT</t>
  </si>
  <si>
    <t>GR 784 BZ|ARRIERE</t>
  </si>
  <si>
    <t>GR 869 DR</t>
  </si>
  <si>
    <t>GR 869 DR|AVANT</t>
  </si>
  <si>
    <t>GR 869 DR|ARRIERE</t>
  </si>
  <si>
    <t>GR 893 QM</t>
  </si>
  <si>
    <t>GR 893 QM|AVANT</t>
  </si>
  <si>
    <t>GR 893 QM|ARRIERE</t>
  </si>
  <si>
    <t>GS 082 TP</t>
  </si>
  <si>
    <t>GS 082 TP|AVANT</t>
  </si>
  <si>
    <t>GS 082 TP|ARRIERE</t>
  </si>
  <si>
    <t>GS 604 TN</t>
  </si>
  <si>
    <t>GS 604 TN|AVANT</t>
  </si>
  <si>
    <t>GS 604 TN|ARRIERE</t>
  </si>
  <si>
    <t>GS 984 TM</t>
  </si>
  <si>
    <t>GS 984 TM|AVANT</t>
  </si>
  <si>
    <t>GS 984 TM|ARRIERE</t>
  </si>
  <si>
    <t>GY 092 MJ</t>
  </si>
  <si>
    <t>GY 092 MJ|AVANT</t>
  </si>
  <si>
    <t>GY 092 MJ|ARRIERE</t>
  </si>
  <si>
    <t>GY 742 MH</t>
  </si>
  <si>
    <t>GY 742 MH|AVANT</t>
  </si>
  <si>
    <t>GY 742 MH|ARRIERE</t>
  </si>
  <si>
    <t>GY 778 NF</t>
  </si>
  <si>
    <t>DMAX</t>
  </si>
  <si>
    <t>265/60 R18 110H</t>
  </si>
  <si>
    <t>GY 778 NF|AVANT</t>
  </si>
  <si>
    <t>265/60 R18</t>
  </si>
  <si>
    <t>GY 778 NF|ARRIERE</t>
  </si>
  <si>
    <t>GY 794 NF</t>
  </si>
  <si>
    <t>GY 794 NF|AVANT</t>
  </si>
  <si>
    <t>GY 794 NF|ARRIERE</t>
  </si>
  <si>
    <t>GY 814 NF</t>
  </si>
  <si>
    <t>GY 814 NF|AVANT</t>
  </si>
  <si>
    <t>GY 814 NF|ARRIERE</t>
  </si>
  <si>
    <t>GY 842 MH</t>
  </si>
  <si>
    <t>GY 842 MH|AVANT</t>
  </si>
  <si>
    <t>GY 842 MH|ARRIERE</t>
  </si>
  <si>
    <t>GY 917 MH</t>
  </si>
  <si>
    <t>GY 917 MH|AVANT</t>
  </si>
  <si>
    <t>GY 917 MH|ARRIERE</t>
  </si>
  <si>
    <t>GY 985 MH</t>
  </si>
  <si>
    <t>GY 985 MH|AVANT</t>
  </si>
  <si>
    <t>GY 985 MH|ARRIERE</t>
  </si>
  <si>
    <t>GZ 330 ED</t>
  </si>
  <si>
    <t>GZ 330 ED|AVANT</t>
  </si>
  <si>
    <t>GZ 330 ED|ARRIERE</t>
  </si>
  <si>
    <t>GZ 744 DT</t>
  </si>
  <si>
    <t xml:space="preserve">TOYOTA </t>
  </si>
  <si>
    <t>GZ 744 DT|AVANT</t>
  </si>
  <si>
    <t>GZ 744 DT|ARRIERE</t>
  </si>
  <si>
    <t>HH 134 YD</t>
  </si>
  <si>
    <t>HH 134 YD|AVANT</t>
  </si>
  <si>
    <t>HH 134 YD|ARRIERE</t>
  </si>
  <si>
    <t>HH 585 YE</t>
  </si>
  <si>
    <t>COROLLA CROSS</t>
  </si>
  <si>
    <t>215/60 R17 96H</t>
  </si>
  <si>
    <t>HH 585 YE|AVANT</t>
  </si>
  <si>
    <t>215/60 R17</t>
  </si>
  <si>
    <t>HH 585 YE|ARRIERE</t>
  </si>
  <si>
    <t>HH 685 YD</t>
  </si>
  <si>
    <t>HH 685 YD|AVANT</t>
  </si>
  <si>
    <t>HH 685 YD|ARRIERE</t>
  </si>
  <si>
    <t>HH 124 YE</t>
  </si>
  <si>
    <t>HH 124 YE|AVANT</t>
  </si>
  <si>
    <t>HH 124 YE|ARRIERE</t>
  </si>
  <si>
    <t>HH 875 WH</t>
  </si>
  <si>
    <t>HH 875 WH|AVANT</t>
  </si>
  <si>
    <t>HH 875 WH|ARRIERE</t>
  </si>
  <si>
    <t>HH 888 WH</t>
  </si>
  <si>
    <t>HH 888 WH|AVANT</t>
  </si>
  <si>
    <t>HH 888 WH|ARRIERE</t>
  </si>
  <si>
    <t>Ref BPU</t>
  </si>
  <si>
    <t>Clé recherche</t>
  </si>
  <si>
    <t>Classification</t>
  </si>
  <si>
    <t>Prix neuf HT</t>
  </si>
  <si>
    <t>Remise %</t>
  </si>
  <si>
    <t>Prix neuf remisé HT</t>
  </si>
  <si>
    <t>Prix rechapé remisé HT</t>
  </si>
  <si>
    <t>1.1</t>
  </si>
  <si>
    <t>175/65 R15 84 H</t>
  </si>
  <si>
    <t>175/65 R15</t>
  </si>
  <si>
    <t>DAVANTI</t>
  </si>
  <si>
    <t>C-A-C-67</t>
  </si>
  <si>
    <t>1.3</t>
  </si>
  <si>
    <t>185/65 R15 88 T</t>
  </si>
  <si>
    <t>C-A-B-67</t>
  </si>
  <si>
    <t>1.4</t>
  </si>
  <si>
    <t>185/ 65 R15 92 T</t>
  </si>
  <si>
    <t>1.5</t>
  </si>
  <si>
    <t>205/55 R16 91 V</t>
  </si>
  <si>
    <t>C-A-A-68</t>
  </si>
  <si>
    <t>1.6</t>
  </si>
  <si>
    <t>205/45 R16 83 V</t>
  </si>
  <si>
    <t>205/45 R16</t>
  </si>
  <si>
    <t>C-A-B-68</t>
  </si>
  <si>
    <t>1.7</t>
  </si>
  <si>
    <t>235/55 R19 105 V XL</t>
  </si>
  <si>
    <t>B-A-B-61</t>
  </si>
  <si>
    <t>1.S1</t>
  </si>
  <si>
    <t>Corolla Cross — repère BPU 1.5</t>
  </si>
  <si>
    <t>BPU</t>
  </si>
  <si>
    <t>T135/80 D18 104M</t>
  </si>
  <si>
    <t>-</t>
  </si>
  <si>
    <t>195/65 R15 91 H</t>
  </si>
  <si>
    <t>1.10</t>
  </si>
  <si>
    <t>265/65 R17 112 S</t>
  </si>
  <si>
    <t>D-B-B-73</t>
  </si>
  <si>
    <t>1.11</t>
  </si>
  <si>
    <t>265/60 R18 110 H</t>
  </si>
  <si>
    <t>1.12</t>
  </si>
  <si>
    <t>205/75 R16 C 113/111 R</t>
  </si>
  <si>
    <t>205/75 R16C</t>
  </si>
  <si>
    <t>C-B-C-72</t>
  </si>
  <si>
    <t>1.13</t>
  </si>
  <si>
    <t>205 R16 C 110/108 S</t>
  </si>
  <si>
    <t>1.2</t>
  </si>
  <si>
    <t>215/65 R16 102 H</t>
  </si>
  <si>
    <t>215/65 R16</t>
  </si>
  <si>
    <t>1.8</t>
  </si>
  <si>
    <t>225/65 R16 C 112/110 R</t>
  </si>
  <si>
    <t>225/65 R16C</t>
  </si>
  <si>
    <t>1.9</t>
  </si>
  <si>
    <t>255/70 R16 111 T</t>
  </si>
  <si>
    <t>2.S1</t>
  </si>
  <si>
    <t>Flotte IVECO 50C15 — repère BPU 1.12</t>
  </si>
  <si>
    <t>2.S2</t>
  </si>
  <si>
    <t>Flotte MASCOTT/NACELLE — repère BPU 1.7</t>
  </si>
  <si>
    <t>2.S3</t>
  </si>
  <si>
    <t>Flotte PARTNER — repère BPU 1.10</t>
  </si>
  <si>
    <t>2.S4</t>
  </si>
  <si>
    <t>Flotte BROYEUR — repère BPU 1.1</t>
  </si>
  <si>
    <t>3.1</t>
  </si>
  <si>
    <t>BPU Lot 3</t>
  </si>
  <si>
    <t>Épareuse RENAULT — valider BPU SOMAREC</t>
  </si>
  <si>
    <t>3.2</t>
  </si>
  <si>
    <t>Épareuse RENAULT/KUBOTA — valider BPU SOMAREC</t>
  </si>
  <si>
    <t>3.3</t>
  </si>
  <si>
    <t>Épareuse KUBOTA — valider BPU SOMAREC</t>
  </si>
  <si>
    <t>3.4</t>
  </si>
  <si>
    <t>Camion MAN/ISUZU — valider BPU SOMAREC</t>
  </si>
  <si>
    <t>Prestation</t>
  </si>
  <si>
    <t>Prix catalogue HT</t>
  </si>
  <si>
    <t>Prix remisé HT</t>
  </si>
  <si>
    <t>Cle_lot_prestation</t>
  </si>
  <si>
    <t>Réparation par rustine</t>
  </si>
  <si>
    <t>Lot 1|Réparation par rustine</t>
  </si>
  <si>
    <t>Remplacement capteur de valve électronique</t>
  </si>
  <si>
    <t>Lot 1|Remplacement capteur de valve électronique</t>
  </si>
  <si>
    <t>Parallélisme</t>
  </si>
  <si>
    <t>Lot 1|Parallélisme</t>
  </si>
  <si>
    <t>Equilibrage</t>
  </si>
  <si>
    <t>Lot 1|Equilibrage</t>
  </si>
  <si>
    <t>Montage sur jante</t>
  </si>
  <si>
    <t>Lot 1|Montage sur jante</t>
  </si>
  <si>
    <t>Remplacement jante tôlé</t>
  </si>
  <si>
    <t>Lot 1|Remplacement jante tôlé</t>
  </si>
  <si>
    <t>Remplacement jante alu</t>
  </si>
  <si>
    <t>Lot 1|Remplacement jante alu</t>
  </si>
  <si>
    <t>Lot 2|Réparation par rustine</t>
  </si>
  <si>
    <t>Lot 2|Remplacement capteur de valve électronique</t>
  </si>
  <si>
    <t>Lot 2|Parallélisme</t>
  </si>
  <si>
    <t>Lot 2|Equilibrage</t>
  </si>
  <si>
    <t>Lot 2|Montage sur jante</t>
  </si>
  <si>
    <t>Lot 2|Remplacement jante tôlé</t>
  </si>
  <si>
    <t>Lot 2|Remplacement jante alu</t>
  </si>
  <si>
    <t>Centre</t>
  </si>
  <si>
    <t>Adresse</t>
  </si>
  <si>
    <t>Mobile</t>
  </si>
  <si>
    <t>Fixe</t>
  </si>
  <si>
    <t>Email coordination</t>
  </si>
  <si>
    <t>Lot 1-2</t>
  </si>
  <si>
    <t>Zone de la carrière Ernoult, 97233 Schoelcher</t>
  </si>
  <si>
    <t>pcschoelcher@citadelle-sa.com</t>
  </si>
  <si>
    <t>0696 31 97 16</t>
  </si>
  <si>
    <t>0596 57 25 25</t>
  </si>
  <si>
    <t>lbarru@citadelle-sa.com</t>
  </si>
  <si>
    <t>Pneu Cash Les Mangles</t>
  </si>
  <si>
    <t>ZI Les Mangles, 97232 Le Lamentin</t>
  </si>
  <si>
    <t>pcmangles@citadelle-sa.com</t>
  </si>
  <si>
    <t>Pneu Cash Place d'Armes</t>
  </si>
  <si>
    <t>CC Place d'armes, 97232 Le Lamentin</t>
  </si>
  <si>
    <t>pcplacedarmes@citadelle-sa.com</t>
  </si>
  <si>
    <t>Pneu Cash Génipa</t>
  </si>
  <si>
    <t>ZAC de Génipa, 97224 Ducos</t>
  </si>
  <si>
    <t>pcgenipa@citadelle-sa.com</t>
  </si>
  <si>
    <t>Pneu Cash Trinité</t>
  </si>
  <si>
    <t>ZAC du BAC, 97220 Trinité</t>
  </si>
  <si>
    <t>pctrinite@citadelle-sa.com</t>
  </si>
  <si>
    <t>SOMAREC Aéroport</t>
  </si>
  <si>
    <t>Quartier Aéroport - RN5, 97232 Le Lamentin</t>
  </si>
  <si>
    <t>contact.somarec@gbh.fr</t>
  </si>
  <si>
    <t>0596 42 44 24</t>
  </si>
  <si>
    <t>Horodatage</t>
  </si>
  <si>
    <t>Engagement</t>
  </si>
  <si>
    <t>Immat</t>
  </si>
  <si>
    <t>Statut</t>
  </si>
  <si>
    <t>ENVOYER LE BON PAR OUTLOOK</t>
  </si>
  <si>
    <t>METHODE SIMPLE (recommandee) :</t>
  </si>
  <si>
    <t>1. Remplir centre (H5), immatriculation (B9), engagement (B5).</t>
  </si>
  <si>
    <t>2. Verifier les lignes AVANT / ARRIERE (dimensions et prix auto).</t>
  </si>
  <si>
    <t>3. Cliquer le GROS BOUTON VERT sur l'onglet SAISIE.</t>
  </si>
  <si>
    <t xml:space="preserve">   -&gt; Lance EnvoyerBon.vbs qui ouvre Outlook avec le mail pre-rempli.</t>
  </si>
  <si>
    <t>Si le bouton ne marche pas : double-cliquez EnvoyerBon.vbs dans le dossier JORIS.</t>
  </si>
  <si>
    <t>METHODE MACRO (optionnelle) :</t>
  </si>
  <si>
    <t>Importer ModOutlook.bas + bouton macro EnvoyerBonOutlook (email HTML).</t>
  </si>
  <si>
    <t>joris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</si>
</sst>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0"/>
      <name val="Calibri"/>
    </font>
    <font>
      <b/>
      <sz val="11"/>
      <color rgb="FFFFFFFF"/>
      <name val="Calibri"/>
    </font>
    <font>
      <i/>
      <sz val="10"/>
      <color rgb="FF333333"/>
      <name val="Calibri"/>
    </font>
    <font>
      <i/>
      <sz val="9"/>
      <color rgb="FFC00000"/>
      <name val="Calibri"/>
    </font>
    <font>
      <b/>
      <sz val="11"/>
      <color rgb="FF1F4E79"/>
      <name val="Calibri"/>
    </font>
    <font>
      <b/>
      <sz val="11"/>
      <name val="Calibri"/>
    </font>
    <font>
      <b/>
      <sz val="14"/>
      <color rgb="FFFFFFFF"/>
      <name val="Calibri"/>
    </font>
    <font>
      <sz val="9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7" fillId="0" borderId="1" xfId="0" applyNumberFormat="1" applyFont="1" applyBorder="1"/>
    <xf numFmtId="0" fontId="1" fillId="0" borderId="0" xfId="0" applyFont="1"/>
    <xf numFmtId="0" fontId="0" fillId="0" borderId="0" xfId="0"/>
    <xf numFmtId="0" fontId="4" fillId="0" borderId="0" xfId="0" applyFont="1"/>
    <xf numFmtId="0" fontId="8" fillId="4" borderId="0" xfId="0" applyFont="1" applyFill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tabSelected="1" workbookViewId="0">
      <selection activeCell="A22" sqref="A22:I24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3" width="28" customWidth="1"/>
    <col min="4" max="4" width="12" customWidth="1"/>
    <col min="5" max="5" width="22" customWidth="1"/>
    <col min="6" max="6" width="8" customWidth="1"/>
    <col min="7" max="7" width="18" customWidth="1"/>
    <col min="8" max="8" width="12" customWidth="1"/>
    <col min="9" max="9" width="10" customWidth="1"/>
  </cols>
  <sheetData>
    <row r="1" spans="1:9" ht="18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</row>
    <row r="4" spans="1:9" x14ac:dyDescent="0.3">
      <c r="A4" s="2" t="s">
        <v>2</v>
      </c>
      <c r="B4" s="3" t="str">
        <f ca="1">TEXT(TODAY(),"YYYYMMDD")&amp;"-BI-"&amp;TEXT(COUNTA(HISTORIQUE!B:B)-1,"000")</f>
        <v>YYYY06DD-BI-000</v>
      </c>
      <c r="D4" s="2" t="s">
        <v>3</v>
      </c>
      <c r="E4" s="4">
        <f ca="1">TODAY()</f>
        <v>46175</v>
      </c>
      <c r="G4" s="2" t="s">
        <v>4</v>
      </c>
      <c r="H4" s="3" t="s">
        <v>5</v>
      </c>
    </row>
    <row r="5" spans="1:9" x14ac:dyDescent="0.3">
      <c r="A5" s="2" t="s">
        <v>6</v>
      </c>
      <c r="B5" s="3"/>
      <c r="D5" s="2" t="s">
        <v>7</v>
      </c>
      <c r="E5" s="3" t="str">
        <f>IF(H6="","Lot 1",H6)</f>
        <v>Lot 1</v>
      </c>
      <c r="G5" s="2" t="s">
        <v>8</v>
      </c>
      <c r="H5" s="5" t="s">
        <v>9</v>
      </c>
    </row>
    <row r="6" spans="1:9" x14ac:dyDescent="0.3">
      <c r="A6" s="2" t="s">
        <v>10</v>
      </c>
      <c r="B6" s="3" t="s">
        <v>635</v>
      </c>
      <c r="D6" s="2" t="s">
        <v>11</v>
      </c>
      <c r="E6" s="3">
        <v>20005</v>
      </c>
      <c r="G6" s="2" t="s">
        <v>12</v>
      </c>
      <c r="H6" s="3" t="str">
        <f>IF(B9="","",IFERROR(INDEX(VEHICULES!$I:$I,MATCH(B9,VEHICULES!$B:$B,0)),""))</f>
        <v>Lot 1</v>
      </c>
    </row>
    <row r="7" spans="1:9" x14ac:dyDescent="0.3">
      <c r="A7" s="6" t="s">
        <v>13</v>
      </c>
    </row>
    <row r="8" spans="1:9" x14ac:dyDescent="0.3">
      <c r="A8" s="7" t="s">
        <v>14</v>
      </c>
    </row>
    <row r="9" spans="1:9" x14ac:dyDescent="0.3">
      <c r="A9" s="2" t="s">
        <v>15</v>
      </c>
      <c r="B9" s="3" t="s">
        <v>476</v>
      </c>
      <c r="D9" s="2" t="s">
        <v>16</v>
      </c>
      <c r="E9" s="3" t="str">
        <f>IFERROR(INDEX(VEHICULES!$C:$C,MATCH($B$9,VEHICULES!$B:$B,0)),"")</f>
        <v xml:space="preserve">TOYOTA </v>
      </c>
      <c r="G9" s="2" t="s">
        <v>17</v>
      </c>
      <c r="H9" s="3" t="str">
        <f>IFERROR(INDEX(VEHICULES!$D:$D,MATCH($B$9,VEHICULES!$B:$B,0)),"")</f>
        <v>YARIS HYBRID</v>
      </c>
    </row>
    <row r="11" spans="1:9" x14ac:dyDescent="0.3">
      <c r="A11" s="7" t="s">
        <v>18</v>
      </c>
    </row>
    <row r="12" spans="1:9" ht="28.8" x14ac:dyDescent="0.3">
      <c r="A12" s="8" t="s">
        <v>19</v>
      </c>
      <c r="B12" s="8" t="s">
        <v>20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</row>
    <row r="13" spans="1:9" x14ac:dyDescent="0.3">
      <c r="A13" s="9">
        <v>1</v>
      </c>
      <c r="B13" s="3" t="s">
        <v>28</v>
      </c>
      <c r="C13" s="3"/>
      <c r="D13" s="3" t="s">
        <v>29</v>
      </c>
      <c r="E13" s="3" t="str">
        <f>IF($B$9="","",IFERROR(INDEX(VEHICULES!$F:$F,MATCH($B$9&amp;"|"&amp;D13,VEHICULES!$H:$H,0)),""))</f>
        <v>185/65 R15 88H</v>
      </c>
      <c r="F13" s="3">
        <v>1</v>
      </c>
      <c r="G13" s="3">
        <f>IF(OR($B$9="",B13=""),"",IF(B13="Pneumatique neuf",IFERROR(INDEX(TARIFS_PNEUS!$I:$I,MATCH(INDEX(VEHICULES!$J:$J,MATCH($B$9&amp;"|"&amp;D13,VEHICULES!$H:$H,0)),TARIFS_PNEUS!$D:$D,0)),IFERROR(INDEX(TARIFS_PNEUS!$I:$I,MATCH(E13,TARIFS_PNEUS!$D:$D,0)),"")),IF(B13="Prestation",IFERROR(INDEX(TARIFS_PRESTATIONS!$E:$E,MATCH($E$5&amp;"|"&amp;C13,TARIFS_PRESTATIONS!$F:$F,0)),""),"")))</f>
        <v>46</v>
      </c>
      <c r="H13" s="3">
        <f t="shared" ref="H13:H19" si="0">IFERROR(IF(AND(F13&gt;0,ISNUMBER(G13)),F13*G13,0),0)</f>
        <v>46</v>
      </c>
      <c r="I13" s="3" t="str">
        <f>IF(OR($B$9="",B13&lt;&gt;"Pneumatique neuf"),"",IFERROR(INDEX(TARIFS_PNEUS!$B:$B,MATCH(INDEX(VEHICULES!$J:$J,MATCH($B$9&amp;"|"&amp;D13,VEHICULES!$H:$H,0)),TARIFS_PNEUS!$D:$D,0)),""))</f>
        <v>1.3</v>
      </c>
    </row>
    <row r="14" spans="1:9" x14ac:dyDescent="0.3">
      <c r="A14" s="9">
        <v>2</v>
      </c>
      <c r="B14" s="3" t="s">
        <v>28</v>
      </c>
      <c r="C14" s="3"/>
      <c r="D14" s="3" t="s">
        <v>30</v>
      </c>
      <c r="E14" s="3" t="str">
        <f>IF($B$9="","",IFERROR(INDEX(VEHICULES!$F:$F,MATCH($B$9&amp;"|"&amp;D14,VEHICULES!$H:$H,0)),""))</f>
        <v>185/65 R15 88H</v>
      </c>
      <c r="F14" s="3">
        <v>1</v>
      </c>
      <c r="G14" s="3">
        <f>IF(OR($B$9="",B14=""),"",IF(B14="Pneumatique neuf",IFERROR(INDEX(TARIFS_PNEUS!$I:$I,MATCH(INDEX(VEHICULES!$J:$J,MATCH($B$9&amp;"|"&amp;D14,VEHICULES!$H:$H,0)),TARIFS_PNEUS!$D:$D,0)),IFERROR(INDEX(TARIFS_PNEUS!$I:$I,MATCH(E14,TARIFS_PNEUS!$D:$D,0)),"")),IF(B14="Prestation",IFERROR(INDEX(TARIFS_PRESTATIONS!$E:$E,MATCH($E$5&amp;"|"&amp;C14,TARIFS_PRESTATIONS!$F:$F,0)),""),"")))</f>
        <v>46</v>
      </c>
      <c r="H14" s="3">
        <f t="shared" si="0"/>
        <v>46</v>
      </c>
      <c r="I14" s="3" t="str">
        <f>IF(OR($B$9="",B14&lt;&gt;"Pneumatique neuf"),"",IFERROR(INDEX(TARIFS_PNEUS!$B:$B,MATCH(INDEX(VEHICULES!$J:$J,MATCH($B$9&amp;"|"&amp;D14,VEHICULES!$H:$H,0)),TARIFS_PNEUS!$D:$D,0)),""))</f>
        <v>1.3</v>
      </c>
    </row>
    <row r="15" spans="1:9" x14ac:dyDescent="0.3">
      <c r="A15" s="9">
        <v>3</v>
      </c>
      <c r="B15" s="3"/>
      <c r="C15" s="3"/>
      <c r="D15" s="3"/>
      <c r="E15" s="3" t="str">
        <f>IF($B$9="","",IFERROR(INDEX(VEHICULES!$F:$F,MATCH($B$9&amp;"|"&amp;D15,VEHICULES!$H:$H,0)),""))</f>
        <v/>
      </c>
      <c r="F15" s="3"/>
      <c r="G15" s="3" t="str">
        <f>IF(OR($B$9="",B15=""),"",IF(B15="Pneumatique neuf",IFERROR(INDEX(TARIFS_PNEUS!$I:$I,MATCH(INDEX(VEHICULES!$J:$J,MATCH($B$9&amp;"|"&amp;D15,VEHICULES!$H:$H,0)),TARIFS_PNEUS!$D:$D,0)),IFERROR(INDEX(TARIFS_PNEUS!$I:$I,MATCH(E15,TARIFS_PNEUS!$D:$D,0)),"")),IF(B15="Prestation",IFERROR(INDEX(TARIFS_PRESTATIONS!$E:$E,MATCH($E$5&amp;"|"&amp;C15,TARIFS_PRESTATIONS!$F:$F,0)),""),"")))</f>
        <v/>
      </c>
      <c r="H15" s="3">
        <f t="shared" si="0"/>
        <v>0</v>
      </c>
      <c r="I15" s="3" t="str">
        <f>IF(OR($B$9="",B15&lt;&gt;"Pneumatique neuf"),"",IFERROR(INDEX(TARIFS_PNEUS!$B:$B,MATCH(INDEX(VEHICULES!$J:$J,MATCH($B$9&amp;"|"&amp;D15,VEHICULES!$H:$H,0)),TARIFS_PNEUS!$D:$D,0)),""))</f>
        <v/>
      </c>
    </row>
    <row r="16" spans="1:9" x14ac:dyDescent="0.3">
      <c r="A16" s="9">
        <v>4</v>
      </c>
      <c r="B16" s="3"/>
      <c r="C16" s="3"/>
      <c r="D16" s="3"/>
      <c r="E16" s="3" t="str">
        <f>IF($B$9="","",IFERROR(INDEX(VEHICULES!$F:$F,MATCH($B$9&amp;"|"&amp;D16,VEHICULES!$H:$H,0)),""))</f>
        <v/>
      </c>
      <c r="F16" s="3"/>
      <c r="G16" s="3" t="str">
        <f>IF(OR($B$9="",B16=""),"",IF(B16="Pneumatique neuf",IFERROR(INDEX(TARIFS_PNEUS!$I:$I,MATCH(INDEX(VEHICULES!$J:$J,MATCH($B$9&amp;"|"&amp;D16,VEHICULES!$H:$H,0)),TARIFS_PNEUS!$D:$D,0)),IFERROR(INDEX(TARIFS_PNEUS!$I:$I,MATCH(E16,TARIFS_PNEUS!$D:$D,0)),"")),IF(B16="Prestation",IFERROR(INDEX(TARIFS_PRESTATIONS!$E:$E,MATCH($E$5&amp;"|"&amp;C16,TARIFS_PRESTATIONS!$F:$F,0)),""),"")))</f>
        <v/>
      </c>
      <c r="H16" s="3">
        <f t="shared" si="0"/>
        <v>0</v>
      </c>
      <c r="I16" s="3" t="str">
        <f>IF(OR($B$9="",B16&lt;&gt;"Pneumatique neuf"),"",IFERROR(INDEX(TARIFS_PNEUS!$B:$B,MATCH(INDEX(VEHICULES!$J:$J,MATCH($B$9&amp;"|"&amp;D16,VEHICULES!$H:$H,0)),TARIFS_PNEUS!$D:$D,0)),""))</f>
        <v/>
      </c>
    </row>
    <row r="17" spans="1:9" x14ac:dyDescent="0.3">
      <c r="A17" s="9">
        <v>5</v>
      </c>
      <c r="B17" s="3"/>
      <c r="C17" s="3"/>
      <c r="D17" s="3"/>
      <c r="E17" s="3" t="str">
        <f>IF($B$9="","",IFERROR(INDEX(VEHICULES!$F:$F,MATCH($B$9&amp;"|"&amp;D17,VEHICULES!$H:$H,0)),""))</f>
        <v/>
      </c>
      <c r="F17" s="3"/>
      <c r="G17" s="3" t="str">
        <f>IF(OR($B$9="",B17=""),"",IF(B17="Pneumatique neuf",IFERROR(INDEX(TARIFS_PNEUS!$I:$I,MATCH(INDEX(VEHICULES!$J:$J,MATCH($B$9&amp;"|"&amp;D17,VEHICULES!$H:$H,0)),TARIFS_PNEUS!$D:$D,0)),IFERROR(INDEX(TARIFS_PNEUS!$I:$I,MATCH(E17,TARIFS_PNEUS!$D:$D,0)),"")),IF(B17="Prestation",IFERROR(INDEX(TARIFS_PRESTATIONS!$E:$E,MATCH($E$5&amp;"|"&amp;C17,TARIFS_PRESTATIONS!$F:$F,0)),""),"")))</f>
        <v/>
      </c>
      <c r="H17" s="3">
        <f t="shared" si="0"/>
        <v>0</v>
      </c>
      <c r="I17" s="3" t="str">
        <f>IF(OR($B$9="",B17&lt;&gt;"Pneumatique neuf"),"",IFERROR(INDEX(TARIFS_PNEUS!$B:$B,MATCH(INDEX(VEHICULES!$J:$J,MATCH($B$9&amp;"|"&amp;D17,VEHICULES!$H:$H,0)),TARIFS_PNEUS!$D:$D,0)),""))</f>
        <v/>
      </c>
    </row>
    <row r="18" spans="1:9" x14ac:dyDescent="0.3">
      <c r="A18" s="9">
        <v>6</v>
      </c>
      <c r="B18" s="3"/>
      <c r="C18" s="3"/>
      <c r="D18" s="3"/>
      <c r="E18" s="3" t="str">
        <f>IF($B$9="","",IFERROR(INDEX(VEHICULES!$F:$F,MATCH($B$9&amp;"|"&amp;D18,VEHICULES!$H:$H,0)),""))</f>
        <v/>
      </c>
      <c r="F18" s="3"/>
      <c r="G18" s="3" t="str">
        <f>IF(OR($B$9="",B18=""),"",IF(B18="Pneumatique neuf",IFERROR(INDEX(TARIFS_PNEUS!$I:$I,MATCH(INDEX(VEHICULES!$J:$J,MATCH($B$9&amp;"|"&amp;D18,VEHICULES!$H:$H,0)),TARIFS_PNEUS!$D:$D,0)),IFERROR(INDEX(TARIFS_PNEUS!$I:$I,MATCH(E18,TARIFS_PNEUS!$D:$D,0)),"")),IF(B18="Prestation",IFERROR(INDEX(TARIFS_PRESTATIONS!$E:$E,MATCH($E$5&amp;"|"&amp;C18,TARIFS_PRESTATIONS!$F:$F,0)),""),"")))</f>
        <v/>
      </c>
      <c r="H18" s="3">
        <f t="shared" si="0"/>
        <v>0</v>
      </c>
      <c r="I18" s="3" t="str">
        <f>IF(OR($B$9="",B18&lt;&gt;"Pneumatique neuf"),"",IFERROR(INDEX(TARIFS_PNEUS!$B:$B,MATCH(INDEX(VEHICULES!$J:$J,MATCH($B$9&amp;"|"&amp;D18,VEHICULES!$H:$H,0)),TARIFS_PNEUS!$D:$D,0)),""))</f>
        <v/>
      </c>
    </row>
    <row r="19" spans="1:9" x14ac:dyDescent="0.3">
      <c r="A19" s="9">
        <v>7</v>
      </c>
      <c r="B19" s="3"/>
      <c r="C19" s="3"/>
      <c r="D19" s="3"/>
      <c r="E19" s="3" t="str">
        <f>IF($B$9="","",IFERROR(INDEX(VEHICULES!$F:$F,MATCH($B$9&amp;"|"&amp;D19,VEHICULES!$H:$H,0)),""))</f>
        <v/>
      </c>
      <c r="F19" s="3"/>
      <c r="G19" s="3" t="str">
        <f>IF(OR($B$9="",B19=""),"",IF(B19="Pneumatique neuf",IFERROR(INDEX(TARIFS_PNEUS!$I:$I,MATCH(INDEX(VEHICULES!$J:$J,MATCH($B$9&amp;"|"&amp;D19,VEHICULES!$H:$H,0)),TARIFS_PNEUS!$D:$D,0)),IFERROR(INDEX(TARIFS_PNEUS!$I:$I,MATCH(E19,TARIFS_PNEUS!$D:$D,0)),"")),IF(B19="Prestation",IFERROR(INDEX(TARIFS_PRESTATIONS!$E:$E,MATCH($E$5&amp;"|"&amp;C19,TARIFS_PRESTATIONS!$F:$F,0)),""),"")))</f>
        <v/>
      </c>
      <c r="H19" s="3">
        <f t="shared" si="0"/>
        <v>0</v>
      </c>
      <c r="I19" s="3" t="str">
        <f>IF(OR($B$9="",B19&lt;&gt;"Pneumatique neuf"),"",IFERROR(INDEX(TARIFS_PNEUS!$B:$B,MATCH(INDEX(VEHICULES!$J:$J,MATCH($B$9&amp;"|"&amp;D19,VEHICULES!$H:$H,0)),TARIFS_PNEUS!$D:$D,0)),""))</f>
        <v/>
      </c>
    </row>
    <row r="21" spans="1:9" x14ac:dyDescent="0.3">
      <c r="A21" s="2" t="s">
        <v>31</v>
      </c>
      <c r="H21" s="10">
        <f>IFERROR(SUM(H13:H19),0)</f>
        <v>92</v>
      </c>
    </row>
    <row r="22" spans="1:9" ht="28.05" customHeight="1" x14ac:dyDescent="0.3">
      <c r="A22" s="14" t="str">
        <f ca="1">IF(B9="","&gt;&gt;&gt; CHOISISSEZ UNE IMMATRICULATION (B9) &lt;&lt;&lt;",IF(H5="","&gt;&gt;&gt; CHOISISSEZ UN CENTRE (H5) &lt;&lt;&lt;",HYPERLINK(LEFT(CELL("filename"),FIND("[",CELL("filename"))-1)&amp;"EnvoyerBon.vbs","&gt;&gt;&gt; ENVOYER LE BON PAR OUTLOOK (cliquez ici) &lt;&lt;&lt;")))</f>
        <v>&gt;&gt;&gt; ENVOYER LE BON PAR OUTLOOK (cliquez ici) &lt;&lt;&lt;</v>
      </c>
      <c r="B22" s="12"/>
      <c r="C22" s="12"/>
      <c r="D22" s="12"/>
      <c r="E22" s="12"/>
      <c r="F22" s="12"/>
      <c r="G22" s="12"/>
      <c r="H22" s="12"/>
      <c r="I22" s="12"/>
    </row>
    <row r="23" spans="1:9" ht="28.0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28.0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</row>
    <row r="26" spans="1:9" x14ac:dyDescent="0.3">
      <c r="A26" s="2" t="s">
        <v>32</v>
      </c>
      <c r="B26" s="3" t="str">
        <f>IFERROR(INDEX(CENTRES!$D:$D,MATCH(H5,CENTRES!$B:$B,0)),"")</f>
        <v>pcschoelcher@citadelle-sa.com</v>
      </c>
    </row>
    <row r="27" spans="1:9" x14ac:dyDescent="0.3">
      <c r="A27" s="2" t="s">
        <v>33</v>
      </c>
      <c r="B27" s="3" t="str">
        <f>IFERROR(INDEX(CENTRES!$G:$G,MATCH(H5,CENTRES!$B:$B,0)),"lbarru@citadelle-sa.com")</f>
        <v>lbarru@citadelle-sa.com</v>
      </c>
    </row>
    <row r="29" spans="1:9" x14ac:dyDescent="0.3">
      <c r="A29" s="15" t="s">
        <v>34</v>
      </c>
      <c r="B29" s="12"/>
      <c r="C29" s="12"/>
      <c r="D29" s="12"/>
      <c r="E29" s="12"/>
      <c r="F29" s="12"/>
      <c r="G29" s="12"/>
      <c r="H29" s="12"/>
      <c r="I29" s="12"/>
    </row>
  </sheetData>
  <mergeCells count="4">
    <mergeCell ref="A1:I1"/>
    <mergeCell ref="A2:I2"/>
    <mergeCell ref="A22:I24"/>
    <mergeCell ref="A29:I29"/>
  </mergeCells>
  <conditionalFormatting sqref="H5">
    <cfRule type="expression" dxfId="0" priority="1">
      <formula>H5=""</formula>
    </cfRule>
  </conditionalFormatting>
  <dataValidations count="6">
    <dataValidation type="list" allowBlank="1" sqref="B9" xr:uid="{00000000-0002-0000-0000-000000000000}">
      <formula1>VEHICULES_LIST</formula1>
    </dataValidation>
    <dataValidation type="list" allowBlank="1" sqref="E5" xr:uid="{00000000-0002-0000-0000-000001000000}">
      <formula1>"Lot 1,Lot 2,Lot 3"</formula1>
    </dataValidation>
    <dataValidation type="list" sqref="H5" xr:uid="{00000000-0002-0000-0000-000002000000}">
      <formula1>CENTRES_LIST</formula1>
    </dataValidation>
    <dataValidation type="list" allowBlank="1" sqref="B13 B14 B15 B16 B17 B18 B19" xr:uid="{00000000-0002-0000-0000-000003000000}">
      <formula1>"Pneumatique neuf,Prestation"</formula1>
    </dataValidation>
    <dataValidation type="list" allowBlank="1" sqref="D13 D14 D15 D16 D17 D18 D19" xr:uid="{00000000-0002-0000-0000-000004000000}">
      <formula1>"AVANT,ARRIERE"</formula1>
    </dataValidation>
    <dataValidation type="list" allowBlank="1" sqref="C13 C14 C15 C16 C17 C18 C19" xr:uid="{00000000-0002-0000-0000-000005000000}">
      <formula1>PRESTATIONS_LIST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8671875" defaultRowHeight="14.4" x14ac:dyDescent="0.3"/>
  <cols>
    <col min="1" max="1" width="22" customWidth="1"/>
    <col min="2" max="2" width="70" customWidth="1"/>
  </cols>
  <sheetData>
    <row r="1" spans="1:2" ht="18" x14ac:dyDescent="0.35">
      <c r="A1" s="1" t="s">
        <v>35</v>
      </c>
    </row>
    <row r="3" spans="1:2" x14ac:dyDescent="0.3">
      <c r="A3" s="2" t="s">
        <v>36</v>
      </c>
      <c r="B3" s="3" t="s">
        <v>37</v>
      </c>
    </row>
    <row r="4" spans="1:2" x14ac:dyDescent="0.3">
      <c r="A4" s="2" t="s">
        <v>38</v>
      </c>
      <c r="B4" s="3" t="s">
        <v>5</v>
      </c>
    </row>
    <row r="5" spans="1:2" x14ac:dyDescent="0.3">
      <c r="A5" s="2" t="s">
        <v>39</v>
      </c>
      <c r="B5" s="3" t="s">
        <v>40</v>
      </c>
    </row>
    <row r="6" spans="1:2" x14ac:dyDescent="0.3">
      <c r="A6" s="2" t="s">
        <v>41</v>
      </c>
      <c r="B6" s="3" t="s">
        <v>42</v>
      </c>
    </row>
    <row r="7" spans="1:2" x14ac:dyDescent="0.3">
      <c r="A7" s="2" t="s">
        <v>43</v>
      </c>
      <c r="B7" s="3" t="s">
        <v>44</v>
      </c>
    </row>
    <row r="8" spans="1:2" x14ac:dyDescent="0.3">
      <c r="A8" s="2" t="s">
        <v>45</v>
      </c>
      <c r="B8" s="3" t="s">
        <v>46</v>
      </c>
    </row>
    <row r="9" spans="1:2" x14ac:dyDescent="0.3">
      <c r="A9" s="2" t="s">
        <v>47</v>
      </c>
      <c r="B9" s="3" t="s">
        <v>48</v>
      </c>
    </row>
    <row r="10" spans="1:2" x14ac:dyDescent="0.3">
      <c r="A10" s="2" t="s">
        <v>49</v>
      </c>
      <c r="B10" s="3" t="s">
        <v>50</v>
      </c>
    </row>
    <row r="11" spans="1:2" x14ac:dyDescent="0.3">
      <c r="A11" s="2" t="s">
        <v>51</v>
      </c>
      <c r="B11" s="3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5"/>
  <sheetViews>
    <sheetView workbookViewId="0"/>
  </sheetViews>
  <sheetFormatPr baseColWidth="10" defaultColWidth="8.88671875" defaultRowHeight="14.4" x14ac:dyDescent="0.3"/>
  <cols>
    <col min="2" max="2" width="18" customWidth="1"/>
    <col min="6" max="6" width="28" customWidth="1"/>
  </cols>
  <sheetData>
    <row r="1" spans="1:10" ht="28.8" x14ac:dyDescent="0.3">
      <c r="A1" s="8" t="s">
        <v>53</v>
      </c>
      <c r="B1" s="8" t="s">
        <v>15</v>
      </c>
      <c r="C1" s="8" t="s">
        <v>16</v>
      </c>
      <c r="D1" s="8" t="s">
        <v>54</v>
      </c>
      <c r="E1" s="8" t="s">
        <v>22</v>
      </c>
      <c r="F1" s="8" t="s">
        <v>23</v>
      </c>
      <c r="G1" s="8" t="s">
        <v>55</v>
      </c>
      <c r="H1" s="8" t="s">
        <v>56</v>
      </c>
      <c r="I1" s="8" t="s">
        <v>57</v>
      </c>
      <c r="J1" s="8" t="s">
        <v>58</v>
      </c>
    </row>
    <row r="2" spans="1:10" x14ac:dyDescent="0.3">
      <c r="A2" s="3">
        <v>1</v>
      </c>
      <c r="B2" s="3" t="s">
        <v>59</v>
      </c>
      <c r="C2" s="3" t="s">
        <v>60</v>
      </c>
      <c r="D2" s="3" t="s">
        <v>61</v>
      </c>
      <c r="E2" s="3" t="s">
        <v>29</v>
      </c>
      <c r="F2" s="3" t="s">
        <v>62</v>
      </c>
      <c r="G2" s="3"/>
      <c r="H2" s="3" t="s">
        <v>63</v>
      </c>
      <c r="I2" s="3" t="s">
        <v>47</v>
      </c>
      <c r="J2" s="3" t="s">
        <v>64</v>
      </c>
    </row>
    <row r="3" spans="1:10" x14ac:dyDescent="0.3">
      <c r="A3" s="3">
        <v>1</v>
      </c>
      <c r="B3" s="3" t="s">
        <v>59</v>
      </c>
      <c r="C3" s="3" t="s">
        <v>60</v>
      </c>
      <c r="D3" s="3" t="s">
        <v>61</v>
      </c>
      <c r="E3" s="3" t="s">
        <v>30</v>
      </c>
      <c r="F3" s="3" t="s">
        <v>65</v>
      </c>
      <c r="G3" s="3"/>
      <c r="H3" s="3" t="s">
        <v>66</v>
      </c>
      <c r="I3" s="3" t="s">
        <v>47</v>
      </c>
      <c r="J3" s="3" t="s">
        <v>67</v>
      </c>
    </row>
    <row r="4" spans="1:10" x14ac:dyDescent="0.3">
      <c r="A4" s="3">
        <v>2</v>
      </c>
      <c r="B4" s="3" t="s">
        <v>68</v>
      </c>
      <c r="C4" s="3" t="s">
        <v>60</v>
      </c>
      <c r="D4" s="3" t="s">
        <v>61</v>
      </c>
      <c r="E4" s="3" t="s">
        <v>29</v>
      </c>
      <c r="F4" s="3" t="s">
        <v>62</v>
      </c>
      <c r="G4" s="3"/>
      <c r="H4" s="3" t="s">
        <v>69</v>
      </c>
      <c r="I4" s="3" t="s">
        <v>47</v>
      </c>
      <c r="J4" s="3" t="s">
        <v>64</v>
      </c>
    </row>
    <row r="5" spans="1:10" x14ac:dyDescent="0.3">
      <c r="A5" s="3">
        <v>2</v>
      </c>
      <c r="B5" s="3" t="s">
        <v>68</v>
      </c>
      <c r="C5" s="3" t="s">
        <v>60</v>
      </c>
      <c r="D5" s="3" t="s">
        <v>61</v>
      </c>
      <c r="E5" s="3" t="s">
        <v>30</v>
      </c>
      <c r="F5" s="3" t="s">
        <v>65</v>
      </c>
      <c r="G5" s="3"/>
      <c r="H5" s="3" t="s">
        <v>70</v>
      </c>
      <c r="I5" s="3" t="s">
        <v>47</v>
      </c>
      <c r="J5" s="3" t="s">
        <v>67</v>
      </c>
    </row>
    <row r="6" spans="1:10" x14ac:dyDescent="0.3">
      <c r="A6" s="3">
        <v>3</v>
      </c>
      <c r="B6" s="3" t="s">
        <v>71</v>
      </c>
      <c r="C6" s="3" t="s">
        <v>60</v>
      </c>
      <c r="D6" s="3" t="s">
        <v>72</v>
      </c>
      <c r="E6" s="3" t="s">
        <v>29</v>
      </c>
      <c r="F6" s="3" t="s">
        <v>73</v>
      </c>
      <c r="G6" s="3"/>
      <c r="H6" s="3" t="s">
        <v>74</v>
      </c>
      <c r="I6" s="3" t="s">
        <v>43</v>
      </c>
      <c r="J6" s="3" t="s">
        <v>75</v>
      </c>
    </row>
    <row r="7" spans="1:10" x14ac:dyDescent="0.3">
      <c r="A7" s="3">
        <v>3</v>
      </c>
      <c r="B7" s="3" t="s">
        <v>71</v>
      </c>
      <c r="C7" s="3" t="s">
        <v>60</v>
      </c>
      <c r="D7" s="3" t="s">
        <v>72</v>
      </c>
      <c r="E7" s="3" t="s">
        <v>30</v>
      </c>
      <c r="F7" s="3" t="s">
        <v>73</v>
      </c>
      <c r="G7" s="3"/>
      <c r="H7" s="3" t="s">
        <v>76</v>
      </c>
      <c r="I7" s="3" t="s">
        <v>43</v>
      </c>
      <c r="J7" s="3" t="s">
        <v>75</v>
      </c>
    </row>
    <row r="8" spans="1:10" x14ac:dyDescent="0.3">
      <c r="A8" s="3">
        <v>4</v>
      </c>
      <c r="B8" s="3" t="s">
        <v>77</v>
      </c>
      <c r="C8" s="3" t="s">
        <v>78</v>
      </c>
      <c r="D8" s="3" t="s">
        <v>79</v>
      </c>
      <c r="E8" s="3" t="s">
        <v>29</v>
      </c>
      <c r="F8" s="3" t="s">
        <v>80</v>
      </c>
      <c r="G8" s="3"/>
      <c r="H8" s="3" t="s">
        <v>81</v>
      </c>
      <c r="I8" s="3" t="s">
        <v>45</v>
      </c>
      <c r="J8" s="3" t="s">
        <v>80</v>
      </c>
    </row>
    <row r="9" spans="1:10" x14ac:dyDescent="0.3">
      <c r="A9" s="3">
        <v>4</v>
      </c>
      <c r="B9" s="3" t="s">
        <v>77</v>
      </c>
      <c r="C9" s="3" t="s">
        <v>78</v>
      </c>
      <c r="D9" s="3" t="s">
        <v>79</v>
      </c>
      <c r="E9" s="3" t="s">
        <v>30</v>
      </c>
      <c r="F9" s="3" t="s">
        <v>80</v>
      </c>
      <c r="G9" s="3"/>
      <c r="H9" s="3" t="s">
        <v>82</v>
      </c>
      <c r="I9" s="3" t="s">
        <v>45</v>
      </c>
      <c r="J9" s="3" t="s">
        <v>80</v>
      </c>
    </row>
    <row r="10" spans="1:10" x14ac:dyDescent="0.3">
      <c r="A10" s="3">
        <v>5</v>
      </c>
      <c r="B10" s="3" t="s">
        <v>83</v>
      </c>
      <c r="C10" s="3" t="s">
        <v>84</v>
      </c>
      <c r="D10" s="3" t="s">
        <v>85</v>
      </c>
      <c r="E10" s="3" t="s">
        <v>29</v>
      </c>
      <c r="F10" s="3" t="s">
        <v>86</v>
      </c>
      <c r="G10" s="3"/>
      <c r="H10" s="3" t="s">
        <v>87</v>
      </c>
      <c r="I10" s="3" t="s">
        <v>45</v>
      </c>
      <c r="J10" s="3" t="s">
        <v>88</v>
      </c>
    </row>
    <row r="11" spans="1:10" x14ac:dyDescent="0.3">
      <c r="A11" s="3">
        <v>5</v>
      </c>
      <c r="B11" s="3" t="s">
        <v>83</v>
      </c>
      <c r="C11" s="3" t="s">
        <v>84</v>
      </c>
      <c r="D11" s="3" t="s">
        <v>85</v>
      </c>
      <c r="E11" s="3" t="s">
        <v>30</v>
      </c>
      <c r="F11" s="3" t="s">
        <v>86</v>
      </c>
      <c r="G11" s="3"/>
      <c r="H11" s="3" t="s">
        <v>89</v>
      </c>
      <c r="I11" s="3" t="s">
        <v>45</v>
      </c>
      <c r="J11" s="3" t="s">
        <v>88</v>
      </c>
    </row>
    <row r="12" spans="1:10" x14ac:dyDescent="0.3">
      <c r="A12" s="3">
        <v>6</v>
      </c>
      <c r="B12" s="3" t="s">
        <v>90</v>
      </c>
      <c r="C12" s="3" t="s">
        <v>84</v>
      </c>
      <c r="D12" s="3" t="s">
        <v>85</v>
      </c>
      <c r="E12" s="3" t="s">
        <v>29</v>
      </c>
      <c r="F12" s="3" t="s">
        <v>86</v>
      </c>
      <c r="G12" s="3"/>
      <c r="H12" s="3" t="s">
        <v>91</v>
      </c>
      <c r="I12" s="3" t="s">
        <v>45</v>
      </c>
      <c r="J12" s="3" t="s">
        <v>88</v>
      </c>
    </row>
    <row r="13" spans="1:10" x14ac:dyDescent="0.3">
      <c r="A13" s="3">
        <v>6</v>
      </c>
      <c r="B13" s="3" t="s">
        <v>90</v>
      </c>
      <c r="C13" s="3" t="s">
        <v>84</v>
      </c>
      <c r="D13" s="3" t="s">
        <v>85</v>
      </c>
      <c r="E13" s="3" t="s">
        <v>30</v>
      </c>
      <c r="F13" s="3" t="s">
        <v>86</v>
      </c>
      <c r="G13" s="3"/>
      <c r="H13" s="3" t="s">
        <v>92</v>
      </c>
      <c r="I13" s="3" t="s">
        <v>45</v>
      </c>
      <c r="J13" s="3" t="s">
        <v>88</v>
      </c>
    </row>
    <row r="14" spans="1:10" x14ac:dyDescent="0.3">
      <c r="A14" s="3">
        <v>7</v>
      </c>
      <c r="B14" s="3" t="s">
        <v>93</v>
      </c>
      <c r="C14" s="3" t="s">
        <v>94</v>
      </c>
      <c r="D14" s="3" t="s">
        <v>95</v>
      </c>
      <c r="E14" s="3" t="s">
        <v>29</v>
      </c>
      <c r="F14" s="3" t="s">
        <v>96</v>
      </c>
      <c r="G14" s="3"/>
      <c r="H14" s="3" t="s">
        <v>97</v>
      </c>
      <c r="I14" s="3" t="s">
        <v>47</v>
      </c>
      <c r="J14" s="3" t="s">
        <v>98</v>
      </c>
    </row>
    <row r="15" spans="1:10" x14ac:dyDescent="0.3">
      <c r="A15" s="3">
        <v>7</v>
      </c>
      <c r="B15" s="3" t="s">
        <v>93</v>
      </c>
      <c r="C15" s="3" t="s">
        <v>94</v>
      </c>
      <c r="D15" s="3" t="s">
        <v>95</v>
      </c>
      <c r="E15" s="3" t="s">
        <v>30</v>
      </c>
      <c r="F15" s="3" t="s">
        <v>96</v>
      </c>
      <c r="G15" s="3"/>
      <c r="H15" s="3" t="s">
        <v>99</v>
      </c>
      <c r="I15" s="3" t="s">
        <v>47</v>
      </c>
      <c r="J15" s="3" t="s">
        <v>98</v>
      </c>
    </row>
    <row r="16" spans="1:10" x14ac:dyDescent="0.3">
      <c r="A16" s="3">
        <v>8</v>
      </c>
      <c r="B16" s="3" t="s">
        <v>100</v>
      </c>
      <c r="C16" s="3" t="s">
        <v>101</v>
      </c>
      <c r="D16" s="3" t="s">
        <v>102</v>
      </c>
      <c r="E16" s="3" t="s">
        <v>29</v>
      </c>
      <c r="F16" s="3" t="s">
        <v>103</v>
      </c>
      <c r="G16" s="3"/>
      <c r="H16" s="3" t="s">
        <v>104</v>
      </c>
      <c r="I16" s="3" t="s">
        <v>45</v>
      </c>
      <c r="J16" s="3" t="s">
        <v>103</v>
      </c>
    </row>
    <row r="17" spans="1:10" x14ac:dyDescent="0.3">
      <c r="A17" s="3">
        <v>8</v>
      </c>
      <c r="B17" s="3" t="s">
        <v>100</v>
      </c>
      <c r="C17" s="3" t="s">
        <v>101</v>
      </c>
      <c r="D17" s="3" t="s">
        <v>102</v>
      </c>
      <c r="E17" s="3" t="s">
        <v>30</v>
      </c>
      <c r="F17" s="3" t="s">
        <v>103</v>
      </c>
      <c r="G17" s="3"/>
      <c r="H17" s="3" t="s">
        <v>105</v>
      </c>
      <c r="I17" s="3" t="s">
        <v>45</v>
      </c>
      <c r="J17" s="3" t="s">
        <v>103</v>
      </c>
    </row>
    <row r="18" spans="1:10" x14ac:dyDescent="0.3">
      <c r="A18" s="3">
        <v>9</v>
      </c>
      <c r="B18" s="3" t="s">
        <v>106</v>
      </c>
      <c r="C18" s="3" t="s">
        <v>84</v>
      </c>
      <c r="D18" s="3" t="s">
        <v>85</v>
      </c>
      <c r="E18" s="3" t="s">
        <v>29</v>
      </c>
      <c r="F18" s="3" t="s">
        <v>86</v>
      </c>
      <c r="G18" s="3"/>
      <c r="H18" s="3" t="s">
        <v>107</v>
      </c>
      <c r="I18" s="3" t="s">
        <v>45</v>
      </c>
      <c r="J18" s="3" t="s">
        <v>88</v>
      </c>
    </row>
    <row r="19" spans="1:10" x14ac:dyDescent="0.3">
      <c r="A19" s="3">
        <v>9</v>
      </c>
      <c r="B19" s="3" t="s">
        <v>106</v>
      </c>
      <c r="C19" s="3" t="s">
        <v>84</v>
      </c>
      <c r="D19" s="3" t="s">
        <v>85</v>
      </c>
      <c r="E19" s="3" t="s">
        <v>30</v>
      </c>
      <c r="F19" s="3" t="s">
        <v>86</v>
      </c>
      <c r="G19" s="3"/>
      <c r="H19" s="3" t="s">
        <v>108</v>
      </c>
      <c r="I19" s="3" t="s">
        <v>45</v>
      </c>
      <c r="J19" s="3" t="s">
        <v>88</v>
      </c>
    </row>
    <row r="20" spans="1:10" x14ac:dyDescent="0.3">
      <c r="A20" s="3">
        <v>10</v>
      </c>
      <c r="B20" s="3" t="s">
        <v>109</v>
      </c>
      <c r="C20" s="3" t="s">
        <v>101</v>
      </c>
      <c r="D20" s="3" t="s">
        <v>110</v>
      </c>
      <c r="E20" s="3" t="s">
        <v>29</v>
      </c>
      <c r="F20" s="3" t="s">
        <v>103</v>
      </c>
      <c r="G20" s="3"/>
      <c r="H20" s="3" t="s">
        <v>111</v>
      </c>
      <c r="I20" s="3" t="s">
        <v>45</v>
      </c>
      <c r="J20" s="3" t="s">
        <v>103</v>
      </c>
    </row>
    <row r="21" spans="1:10" x14ac:dyDescent="0.3">
      <c r="A21" s="3">
        <v>10</v>
      </c>
      <c r="B21" s="3" t="s">
        <v>109</v>
      </c>
      <c r="C21" s="3" t="s">
        <v>101</v>
      </c>
      <c r="D21" s="3" t="s">
        <v>110</v>
      </c>
      <c r="E21" s="3" t="s">
        <v>30</v>
      </c>
      <c r="F21" s="3" t="s">
        <v>103</v>
      </c>
      <c r="G21" s="3"/>
      <c r="H21" s="3" t="s">
        <v>112</v>
      </c>
      <c r="I21" s="3" t="s">
        <v>45</v>
      </c>
      <c r="J21" s="3" t="s">
        <v>103</v>
      </c>
    </row>
    <row r="22" spans="1:10" x14ac:dyDescent="0.3">
      <c r="A22" s="3">
        <v>11</v>
      </c>
      <c r="B22" s="3" t="s">
        <v>113</v>
      </c>
      <c r="C22" s="3" t="s">
        <v>114</v>
      </c>
      <c r="D22" s="3" t="s">
        <v>115</v>
      </c>
      <c r="E22" s="3" t="s">
        <v>29</v>
      </c>
      <c r="F22" s="3" t="s">
        <v>116</v>
      </c>
      <c r="G22" s="3"/>
      <c r="H22" s="3" t="s">
        <v>117</v>
      </c>
      <c r="I22" s="3" t="s">
        <v>43</v>
      </c>
      <c r="J22" s="3" t="s">
        <v>118</v>
      </c>
    </row>
    <row r="23" spans="1:10" x14ac:dyDescent="0.3">
      <c r="A23" s="3">
        <v>11</v>
      </c>
      <c r="B23" s="3" t="s">
        <v>113</v>
      </c>
      <c r="C23" s="3" t="s">
        <v>114</v>
      </c>
      <c r="D23" s="3" t="s">
        <v>115</v>
      </c>
      <c r="E23" s="3" t="s">
        <v>30</v>
      </c>
      <c r="F23" s="3" t="s">
        <v>116</v>
      </c>
      <c r="G23" s="3"/>
      <c r="H23" s="3" t="s">
        <v>119</v>
      </c>
      <c r="I23" s="3" t="s">
        <v>43</v>
      </c>
      <c r="J23" s="3" t="s">
        <v>118</v>
      </c>
    </row>
    <row r="24" spans="1:10" x14ac:dyDescent="0.3">
      <c r="A24" s="3">
        <v>12</v>
      </c>
      <c r="B24" s="3" t="s">
        <v>120</v>
      </c>
      <c r="C24" s="3" t="s">
        <v>121</v>
      </c>
      <c r="D24" s="3" t="s">
        <v>79</v>
      </c>
      <c r="E24" s="3" t="s">
        <v>29</v>
      </c>
      <c r="F24" s="3" t="s">
        <v>80</v>
      </c>
      <c r="G24" s="3"/>
      <c r="H24" s="3" t="s">
        <v>122</v>
      </c>
      <c r="I24" s="3" t="s">
        <v>45</v>
      </c>
      <c r="J24" s="3" t="s">
        <v>80</v>
      </c>
    </row>
    <row r="25" spans="1:10" x14ac:dyDescent="0.3">
      <c r="A25" s="3">
        <v>12</v>
      </c>
      <c r="B25" s="3" t="s">
        <v>120</v>
      </c>
      <c r="C25" s="3" t="s">
        <v>121</v>
      </c>
      <c r="D25" s="3" t="s">
        <v>79</v>
      </c>
      <c r="E25" s="3" t="s">
        <v>30</v>
      </c>
      <c r="F25" s="3" t="s">
        <v>80</v>
      </c>
      <c r="G25" s="3"/>
      <c r="H25" s="3" t="s">
        <v>123</v>
      </c>
      <c r="I25" s="3" t="s">
        <v>45</v>
      </c>
      <c r="J25" s="3" t="s">
        <v>80</v>
      </c>
    </row>
    <row r="26" spans="1:10" x14ac:dyDescent="0.3">
      <c r="A26" s="3">
        <v>13</v>
      </c>
      <c r="B26" s="3" t="s">
        <v>124</v>
      </c>
      <c r="C26" s="3" t="s">
        <v>121</v>
      </c>
      <c r="D26" s="3" t="s">
        <v>79</v>
      </c>
      <c r="E26" s="3" t="s">
        <v>29</v>
      </c>
      <c r="F26" s="3" t="s">
        <v>80</v>
      </c>
      <c r="G26" s="3"/>
      <c r="H26" s="3" t="s">
        <v>125</v>
      </c>
      <c r="I26" s="3" t="s">
        <v>45</v>
      </c>
      <c r="J26" s="3" t="s">
        <v>80</v>
      </c>
    </row>
    <row r="27" spans="1:10" x14ac:dyDescent="0.3">
      <c r="A27" s="3">
        <v>13</v>
      </c>
      <c r="B27" s="3" t="s">
        <v>124</v>
      </c>
      <c r="C27" s="3" t="s">
        <v>121</v>
      </c>
      <c r="D27" s="3" t="s">
        <v>79</v>
      </c>
      <c r="E27" s="3" t="s">
        <v>30</v>
      </c>
      <c r="F27" s="3" t="s">
        <v>80</v>
      </c>
      <c r="G27" s="3"/>
      <c r="H27" s="3" t="s">
        <v>126</v>
      </c>
      <c r="I27" s="3" t="s">
        <v>45</v>
      </c>
      <c r="J27" s="3" t="s">
        <v>80</v>
      </c>
    </row>
    <row r="28" spans="1:10" x14ac:dyDescent="0.3">
      <c r="A28" s="3">
        <v>14</v>
      </c>
      <c r="B28" s="3" t="s">
        <v>127</v>
      </c>
      <c r="C28" s="3" t="s">
        <v>128</v>
      </c>
      <c r="D28" s="3" t="s">
        <v>61</v>
      </c>
      <c r="E28" s="3" t="s">
        <v>29</v>
      </c>
      <c r="F28" s="3" t="s">
        <v>129</v>
      </c>
      <c r="G28" s="3"/>
      <c r="H28" s="3" t="s">
        <v>130</v>
      </c>
      <c r="I28" s="3" t="s">
        <v>47</v>
      </c>
      <c r="J28" s="3" t="s">
        <v>131</v>
      </c>
    </row>
    <row r="29" spans="1:10" x14ac:dyDescent="0.3">
      <c r="A29" s="3">
        <v>14</v>
      </c>
      <c r="B29" s="3" t="s">
        <v>127</v>
      </c>
      <c r="C29" s="3" t="s">
        <v>128</v>
      </c>
      <c r="D29" s="3" t="s">
        <v>61</v>
      </c>
      <c r="E29" s="3" t="s">
        <v>30</v>
      </c>
      <c r="F29" s="3" t="s">
        <v>65</v>
      </c>
      <c r="G29" s="3"/>
      <c r="H29" s="3" t="s">
        <v>132</v>
      </c>
      <c r="I29" s="3" t="s">
        <v>47</v>
      </c>
      <c r="J29" s="3" t="s">
        <v>67</v>
      </c>
    </row>
    <row r="30" spans="1:10" x14ac:dyDescent="0.3">
      <c r="A30" s="3">
        <v>15</v>
      </c>
      <c r="B30" s="3" t="s">
        <v>133</v>
      </c>
      <c r="C30" s="3" t="s">
        <v>134</v>
      </c>
      <c r="D30" s="3" t="s">
        <v>135</v>
      </c>
      <c r="E30" s="3" t="s">
        <v>29</v>
      </c>
      <c r="F30" s="3" t="s">
        <v>136</v>
      </c>
      <c r="G30" s="3"/>
      <c r="H30" s="3" t="s">
        <v>137</v>
      </c>
      <c r="I30" s="3" t="s">
        <v>43</v>
      </c>
      <c r="J30" s="3" t="s">
        <v>138</v>
      </c>
    </row>
    <row r="31" spans="1:10" x14ac:dyDescent="0.3">
      <c r="A31" s="3">
        <v>15</v>
      </c>
      <c r="B31" s="3" t="s">
        <v>133</v>
      </c>
      <c r="C31" s="3" t="s">
        <v>134</v>
      </c>
      <c r="D31" s="3" t="s">
        <v>135</v>
      </c>
      <c r="E31" s="3" t="s">
        <v>30</v>
      </c>
      <c r="F31" s="3" t="s">
        <v>136</v>
      </c>
      <c r="G31" s="3"/>
      <c r="H31" s="3" t="s">
        <v>139</v>
      </c>
      <c r="I31" s="3" t="s">
        <v>43</v>
      </c>
      <c r="J31" s="3" t="s">
        <v>138</v>
      </c>
    </row>
    <row r="32" spans="1:10" x14ac:dyDescent="0.3">
      <c r="A32" s="3">
        <v>16</v>
      </c>
      <c r="B32" s="3" t="s">
        <v>140</v>
      </c>
      <c r="C32" s="3" t="s">
        <v>134</v>
      </c>
      <c r="D32" s="3" t="s">
        <v>135</v>
      </c>
      <c r="E32" s="3" t="s">
        <v>29</v>
      </c>
      <c r="F32" s="3" t="s">
        <v>136</v>
      </c>
      <c r="G32" s="3"/>
      <c r="H32" s="3" t="s">
        <v>141</v>
      </c>
      <c r="I32" s="3" t="s">
        <v>43</v>
      </c>
      <c r="J32" s="3" t="s">
        <v>138</v>
      </c>
    </row>
    <row r="33" spans="1:10" x14ac:dyDescent="0.3">
      <c r="A33" s="3">
        <v>16</v>
      </c>
      <c r="B33" s="3" t="s">
        <v>140</v>
      </c>
      <c r="C33" s="3" t="s">
        <v>134</v>
      </c>
      <c r="D33" s="3" t="s">
        <v>135</v>
      </c>
      <c r="E33" s="3" t="s">
        <v>30</v>
      </c>
      <c r="F33" s="3" t="s">
        <v>136</v>
      </c>
      <c r="G33" s="3"/>
      <c r="H33" s="3" t="s">
        <v>142</v>
      </c>
      <c r="I33" s="3" t="s">
        <v>43</v>
      </c>
      <c r="J33" s="3" t="s">
        <v>138</v>
      </c>
    </row>
    <row r="34" spans="1:10" x14ac:dyDescent="0.3">
      <c r="A34" s="3">
        <v>17</v>
      </c>
      <c r="B34" s="3" t="s">
        <v>143</v>
      </c>
      <c r="C34" s="3" t="s">
        <v>60</v>
      </c>
      <c r="D34" s="3" t="s">
        <v>144</v>
      </c>
      <c r="E34" s="3" t="s">
        <v>29</v>
      </c>
      <c r="F34" s="3" t="s">
        <v>145</v>
      </c>
      <c r="G34" s="3"/>
      <c r="H34" s="3" t="s">
        <v>146</v>
      </c>
      <c r="I34" s="3" t="s">
        <v>45</v>
      </c>
      <c r="J34" s="3" t="s">
        <v>147</v>
      </c>
    </row>
    <row r="35" spans="1:10" x14ac:dyDescent="0.3">
      <c r="A35" s="3">
        <v>17</v>
      </c>
      <c r="B35" s="3" t="s">
        <v>143</v>
      </c>
      <c r="C35" s="3" t="s">
        <v>60</v>
      </c>
      <c r="D35" s="3" t="s">
        <v>144</v>
      </c>
      <c r="E35" s="3" t="s">
        <v>30</v>
      </c>
      <c r="F35" s="3" t="s">
        <v>145</v>
      </c>
      <c r="G35" s="3"/>
      <c r="H35" s="3" t="s">
        <v>148</v>
      </c>
      <c r="I35" s="3" t="s">
        <v>45</v>
      </c>
      <c r="J35" s="3" t="s">
        <v>147</v>
      </c>
    </row>
    <row r="36" spans="1:10" x14ac:dyDescent="0.3">
      <c r="A36" s="3">
        <v>18</v>
      </c>
      <c r="B36" s="3" t="s">
        <v>149</v>
      </c>
      <c r="C36" s="3" t="s">
        <v>150</v>
      </c>
      <c r="D36" s="3" t="s">
        <v>95</v>
      </c>
      <c r="E36" s="3" t="s">
        <v>29</v>
      </c>
      <c r="F36" s="3" t="s">
        <v>96</v>
      </c>
      <c r="G36" s="3"/>
      <c r="H36" s="3" t="s">
        <v>151</v>
      </c>
      <c r="I36" s="3" t="s">
        <v>47</v>
      </c>
      <c r="J36" s="3" t="s">
        <v>98</v>
      </c>
    </row>
    <row r="37" spans="1:10" x14ac:dyDescent="0.3">
      <c r="A37" s="3">
        <v>18</v>
      </c>
      <c r="B37" s="3" t="s">
        <v>149</v>
      </c>
      <c r="C37" s="3" t="s">
        <v>150</v>
      </c>
      <c r="D37" s="3" t="s">
        <v>95</v>
      </c>
      <c r="E37" s="3" t="s">
        <v>30</v>
      </c>
      <c r="F37" s="3" t="s">
        <v>96</v>
      </c>
      <c r="G37" s="3"/>
      <c r="H37" s="3" t="s">
        <v>152</v>
      </c>
      <c r="I37" s="3" t="s">
        <v>47</v>
      </c>
      <c r="J37" s="3" t="s">
        <v>98</v>
      </c>
    </row>
    <row r="38" spans="1:10" x14ac:dyDescent="0.3">
      <c r="A38" s="3">
        <v>19</v>
      </c>
      <c r="B38" s="3" t="s">
        <v>153</v>
      </c>
      <c r="C38" s="3" t="s">
        <v>114</v>
      </c>
      <c r="D38" s="3" t="s">
        <v>154</v>
      </c>
      <c r="E38" s="3" t="s">
        <v>29</v>
      </c>
      <c r="F38" s="3" t="s">
        <v>155</v>
      </c>
      <c r="G38" s="3"/>
      <c r="H38" s="3" t="s">
        <v>156</v>
      </c>
      <c r="I38" s="3" t="s">
        <v>43</v>
      </c>
      <c r="J38" s="3" t="s">
        <v>157</v>
      </c>
    </row>
    <row r="39" spans="1:10" x14ac:dyDescent="0.3">
      <c r="A39" s="3">
        <v>19</v>
      </c>
      <c r="B39" s="3" t="s">
        <v>153</v>
      </c>
      <c r="C39" s="3" t="s">
        <v>114</v>
      </c>
      <c r="D39" s="3" t="s">
        <v>154</v>
      </c>
      <c r="E39" s="3" t="s">
        <v>30</v>
      </c>
      <c r="F39" s="3" t="s">
        <v>155</v>
      </c>
      <c r="G39" s="3"/>
      <c r="H39" s="3" t="s">
        <v>158</v>
      </c>
      <c r="I39" s="3" t="s">
        <v>43</v>
      </c>
      <c r="J39" s="3" t="s">
        <v>157</v>
      </c>
    </row>
    <row r="40" spans="1:10" x14ac:dyDescent="0.3">
      <c r="A40" s="3">
        <v>20</v>
      </c>
      <c r="B40" s="3" t="s">
        <v>159</v>
      </c>
      <c r="C40" s="3" t="s">
        <v>60</v>
      </c>
      <c r="D40" s="3" t="s">
        <v>160</v>
      </c>
      <c r="E40" s="3" t="s">
        <v>29</v>
      </c>
      <c r="F40" s="3" t="s">
        <v>116</v>
      </c>
      <c r="G40" s="3"/>
      <c r="H40" s="3" t="s">
        <v>161</v>
      </c>
      <c r="I40" s="3" t="s">
        <v>43</v>
      </c>
      <c r="J40" s="3" t="s">
        <v>118</v>
      </c>
    </row>
    <row r="41" spans="1:10" x14ac:dyDescent="0.3">
      <c r="A41" s="3">
        <v>20</v>
      </c>
      <c r="B41" s="3" t="s">
        <v>159</v>
      </c>
      <c r="C41" s="3" t="s">
        <v>60</v>
      </c>
      <c r="D41" s="3" t="s">
        <v>160</v>
      </c>
      <c r="E41" s="3" t="s">
        <v>30</v>
      </c>
      <c r="F41" s="3" t="s">
        <v>116</v>
      </c>
      <c r="G41" s="3"/>
      <c r="H41" s="3" t="s">
        <v>162</v>
      </c>
      <c r="I41" s="3" t="s">
        <v>43</v>
      </c>
      <c r="J41" s="3" t="s">
        <v>118</v>
      </c>
    </row>
    <row r="42" spans="1:10" x14ac:dyDescent="0.3">
      <c r="A42" s="3">
        <v>21</v>
      </c>
      <c r="B42" s="3" t="s">
        <v>163</v>
      </c>
      <c r="C42" s="3" t="s">
        <v>114</v>
      </c>
      <c r="D42" s="3" t="s">
        <v>154</v>
      </c>
      <c r="E42" s="3" t="s">
        <v>29</v>
      </c>
      <c r="F42" s="3" t="s">
        <v>155</v>
      </c>
      <c r="G42" s="3"/>
      <c r="H42" s="3" t="s">
        <v>164</v>
      </c>
      <c r="I42" s="3" t="s">
        <v>43</v>
      </c>
      <c r="J42" s="3" t="s">
        <v>157</v>
      </c>
    </row>
    <row r="43" spans="1:10" x14ac:dyDescent="0.3">
      <c r="A43" s="3">
        <v>21</v>
      </c>
      <c r="B43" s="3" t="s">
        <v>163</v>
      </c>
      <c r="C43" s="3" t="s">
        <v>114</v>
      </c>
      <c r="D43" s="3" t="s">
        <v>154</v>
      </c>
      <c r="E43" s="3" t="s">
        <v>30</v>
      </c>
      <c r="F43" s="3" t="s">
        <v>155</v>
      </c>
      <c r="G43" s="3"/>
      <c r="H43" s="3" t="s">
        <v>165</v>
      </c>
      <c r="I43" s="3" t="s">
        <v>43</v>
      </c>
      <c r="J43" s="3" t="s">
        <v>157</v>
      </c>
    </row>
    <row r="44" spans="1:10" x14ac:dyDescent="0.3">
      <c r="A44" s="3">
        <v>22</v>
      </c>
      <c r="B44" s="3" t="s">
        <v>166</v>
      </c>
      <c r="C44" s="3" t="s">
        <v>167</v>
      </c>
      <c r="D44" s="3" t="s">
        <v>168</v>
      </c>
      <c r="E44" s="3" t="s">
        <v>29</v>
      </c>
      <c r="F44" s="3" t="s">
        <v>169</v>
      </c>
      <c r="G44" s="3"/>
      <c r="H44" s="3" t="s">
        <v>170</v>
      </c>
      <c r="I44" s="3" t="s">
        <v>43</v>
      </c>
      <c r="J44" s="3" t="s">
        <v>171</v>
      </c>
    </row>
    <row r="45" spans="1:10" x14ac:dyDescent="0.3">
      <c r="A45" s="3">
        <v>22</v>
      </c>
      <c r="B45" s="3" t="s">
        <v>166</v>
      </c>
      <c r="C45" s="3" t="s">
        <v>167</v>
      </c>
      <c r="D45" s="3" t="s">
        <v>168</v>
      </c>
      <c r="E45" s="3" t="s">
        <v>30</v>
      </c>
      <c r="F45" s="3" t="s">
        <v>169</v>
      </c>
      <c r="G45" s="3"/>
      <c r="H45" s="3" t="s">
        <v>172</v>
      </c>
      <c r="I45" s="3" t="s">
        <v>43</v>
      </c>
      <c r="J45" s="3" t="s">
        <v>171</v>
      </c>
    </row>
    <row r="46" spans="1:10" x14ac:dyDescent="0.3">
      <c r="A46" s="3">
        <v>23</v>
      </c>
      <c r="B46" s="3" t="s">
        <v>173</v>
      </c>
      <c r="C46" s="3" t="s">
        <v>167</v>
      </c>
      <c r="D46" s="3" t="s">
        <v>168</v>
      </c>
      <c r="E46" s="3" t="s">
        <v>29</v>
      </c>
      <c r="F46" s="3" t="s">
        <v>169</v>
      </c>
      <c r="G46" s="3"/>
      <c r="H46" s="3" t="s">
        <v>174</v>
      </c>
      <c r="I46" s="3" t="s">
        <v>43</v>
      </c>
      <c r="J46" s="3" t="s">
        <v>171</v>
      </c>
    </row>
    <row r="47" spans="1:10" x14ac:dyDescent="0.3">
      <c r="A47" s="3">
        <v>23</v>
      </c>
      <c r="B47" s="3" t="s">
        <v>173</v>
      </c>
      <c r="C47" s="3" t="s">
        <v>167</v>
      </c>
      <c r="D47" s="3" t="s">
        <v>168</v>
      </c>
      <c r="E47" s="3" t="s">
        <v>30</v>
      </c>
      <c r="F47" s="3" t="s">
        <v>169</v>
      </c>
      <c r="G47" s="3"/>
      <c r="H47" s="3" t="s">
        <v>175</v>
      </c>
      <c r="I47" s="3" t="s">
        <v>43</v>
      </c>
      <c r="J47" s="3" t="s">
        <v>171</v>
      </c>
    </row>
    <row r="48" spans="1:10" x14ac:dyDescent="0.3">
      <c r="A48" s="3">
        <v>24</v>
      </c>
      <c r="B48" s="3" t="s">
        <v>176</v>
      </c>
      <c r="C48" s="3" t="s">
        <v>114</v>
      </c>
      <c r="D48" s="3" t="s">
        <v>154</v>
      </c>
      <c r="E48" s="3" t="s">
        <v>29</v>
      </c>
      <c r="F48" s="3" t="s">
        <v>155</v>
      </c>
      <c r="G48" s="3"/>
      <c r="H48" s="3" t="s">
        <v>177</v>
      </c>
      <c r="I48" s="3" t="s">
        <v>43</v>
      </c>
      <c r="J48" s="3" t="s">
        <v>157</v>
      </c>
    </row>
    <row r="49" spans="1:10" x14ac:dyDescent="0.3">
      <c r="A49" s="3">
        <v>24</v>
      </c>
      <c r="B49" s="3" t="s">
        <v>176</v>
      </c>
      <c r="C49" s="3" t="s">
        <v>114</v>
      </c>
      <c r="D49" s="3" t="s">
        <v>154</v>
      </c>
      <c r="E49" s="3" t="s">
        <v>30</v>
      </c>
      <c r="F49" s="3" t="s">
        <v>155</v>
      </c>
      <c r="G49" s="3"/>
      <c r="H49" s="3" t="s">
        <v>178</v>
      </c>
      <c r="I49" s="3" t="s">
        <v>43</v>
      </c>
      <c r="J49" s="3" t="s">
        <v>157</v>
      </c>
    </row>
    <row r="50" spans="1:10" x14ac:dyDescent="0.3">
      <c r="A50" s="3">
        <v>25</v>
      </c>
      <c r="B50" s="3" t="s">
        <v>179</v>
      </c>
      <c r="C50" s="3" t="s">
        <v>167</v>
      </c>
      <c r="D50" s="3" t="s">
        <v>168</v>
      </c>
      <c r="E50" s="3" t="s">
        <v>29</v>
      </c>
      <c r="F50" s="3" t="s">
        <v>169</v>
      </c>
      <c r="G50" s="3"/>
      <c r="H50" s="3" t="s">
        <v>180</v>
      </c>
      <c r="I50" s="3" t="s">
        <v>43</v>
      </c>
      <c r="J50" s="3" t="s">
        <v>171</v>
      </c>
    </row>
    <row r="51" spans="1:10" x14ac:dyDescent="0.3">
      <c r="A51" s="3">
        <v>25</v>
      </c>
      <c r="B51" s="3" t="s">
        <v>179</v>
      </c>
      <c r="C51" s="3" t="s">
        <v>167</v>
      </c>
      <c r="D51" s="3" t="s">
        <v>168</v>
      </c>
      <c r="E51" s="3" t="s">
        <v>30</v>
      </c>
      <c r="F51" s="3" t="s">
        <v>169</v>
      </c>
      <c r="G51" s="3"/>
      <c r="H51" s="3" t="s">
        <v>181</v>
      </c>
      <c r="I51" s="3" t="s">
        <v>43</v>
      </c>
      <c r="J51" s="3" t="s">
        <v>171</v>
      </c>
    </row>
    <row r="52" spans="1:10" x14ac:dyDescent="0.3">
      <c r="A52" s="3">
        <v>26</v>
      </c>
      <c r="B52" s="3" t="s">
        <v>182</v>
      </c>
      <c r="C52" s="3" t="s">
        <v>114</v>
      </c>
      <c r="D52" s="3" t="s">
        <v>154</v>
      </c>
      <c r="E52" s="3" t="s">
        <v>29</v>
      </c>
      <c r="F52" s="3" t="s">
        <v>155</v>
      </c>
      <c r="G52" s="3"/>
      <c r="H52" s="3" t="s">
        <v>183</v>
      </c>
      <c r="I52" s="3" t="s">
        <v>43</v>
      </c>
      <c r="J52" s="3" t="s">
        <v>157</v>
      </c>
    </row>
    <row r="53" spans="1:10" x14ac:dyDescent="0.3">
      <c r="A53" s="3">
        <v>26</v>
      </c>
      <c r="B53" s="3" t="s">
        <v>182</v>
      </c>
      <c r="C53" s="3" t="s">
        <v>114</v>
      </c>
      <c r="D53" s="3" t="s">
        <v>154</v>
      </c>
      <c r="E53" s="3" t="s">
        <v>30</v>
      </c>
      <c r="F53" s="3" t="s">
        <v>155</v>
      </c>
      <c r="G53" s="3"/>
      <c r="H53" s="3" t="s">
        <v>184</v>
      </c>
      <c r="I53" s="3" t="s">
        <v>43</v>
      </c>
      <c r="J53" s="3" t="s">
        <v>157</v>
      </c>
    </row>
    <row r="54" spans="1:10" x14ac:dyDescent="0.3">
      <c r="A54" s="3">
        <v>27</v>
      </c>
      <c r="B54" s="3" t="s">
        <v>185</v>
      </c>
      <c r="C54" s="3" t="s">
        <v>60</v>
      </c>
      <c r="D54" s="3" t="s">
        <v>186</v>
      </c>
      <c r="E54" s="3" t="s">
        <v>29</v>
      </c>
      <c r="F54" s="3" t="s">
        <v>145</v>
      </c>
      <c r="G54" s="3"/>
      <c r="H54" s="3" t="s">
        <v>187</v>
      </c>
      <c r="I54" s="3" t="s">
        <v>45</v>
      </c>
      <c r="J54" s="3" t="s">
        <v>147</v>
      </c>
    </row>
    <row r="55" spans="1:10" x14ac:dyDescent="0.3">
      <c r="A55" s="3">
        <v>27</v>
      </c>
      <c r="B55" s="3" t="s">
        <v>185</v>
      </c>
      <c r="C55" s="3" t="s">
        <v>60</v>
      </c>
      <c r="D55" s="3" t="s">
        <v>186</v>
      </c>
      <c r="E55" s="3" t="s">
        <v>30</v>
      </c>
      <c r="F55" s="3" t="s">
        <v>145</v>
      </c>
      <c r="G55" s="3"/>
      <c r="H55" s="3" t="s">
        <v>188</v>
      </c>
      <c r="I55" s="3" t="s">
        <v>45</v>
      </c>
      <c r="J55" s="3" t="s">
        <v>147</v>
      </c>
    </row>
    <row r="56" spans="1:10" x14ac:dyDescent="0.3">
      <c r="A56" s="3">
        <v>28</v>
      </c>
      <c r="B56" s="3" t="s">
        <v>189</v>
      </c>
      <c r="C56" s="3" t="s">
        <v>60</v>
      </c>
      <c r="D56" s="3" t="s">
        <v>160</v>
      </c>
      <c r="E56" s="3" t="s">
        <v>29</v>
      </c>
      <c r="F56" s="3" t="s">
        <v>116</v>
      </c>
      <c r="G56" s="3"/>
      <c r="H56" s="3" t="s">
        <v>190</v>
      </c>
      <c r="I56" s="3" t="s">
        <v>43</v>
      </c>
      <c r="J56" s="3" t="s">
        <v>118</v>
      </c>
    </row>
    <row r="57" spans="1:10" x14ac:dyDescent="0.3">
      <c r="A57" s="3">
        <v>28</v>
      </c>
      <c r="B57" s="3" t="s">
        <v>189</v>
      </c>
      <c r="C57" s="3" t="s">
        <v>60</v>
      </c>
      <c r="D57" s="3" t="s">
        <v>160</v>
      </c>
      <c r="E57" s="3" t="s">
        <v>30</v>
      </c>
      <c r="F57" s="3" t="s">
        <v>116</v>
      </c>
      <c r="G57" s="3"/>
      <c r="H57" s="3" t="s">
        <v>191</v>
      </c>
      <c r="I57" s="3" t="s">
        <v>43</v>
      </c>
      <c r="J57" s="3" t="s">
        <v>118</v>
      </c>
    </row>
    <row r="58" spans="1:10" x14ac:dyDescent="0.3">
      <c r="A58" s="3">
        <v>29</v>
      </c>
      <c r="B58" s="3" t="s">
        <v>192</v>
      </c>
      <c r="C58" s="3" t="s">
        <v>60</v>
      </c>
      <c r="D58" s="3" t="s">
        <v>160</v>
      </c>
      <c r="E58" s="3" t="s">
        <v>29</v>
      </c>
      <c r="F58" s="3" t="s">
        <v>116</v>
      </c>
      <c r="G58" s="3"/>
      <c r="H58" s="3" t="s">
        <v>193</v>
      </c>
      <c r="I58" s="3" t="s">
        <v>43</v>
      </c>
      <c r="J58" s="3" t="s">
        <v>118</v>
      </c>
    </row>
    <row r="59" spans="1:10" x14ac:dyDescent="0.3">
      <c r="A59" s="3">
        <v>29</v>
      </c>
      <c r="B59" s="3" t="s">
        <v>192</v>
      </c>
      <c r="C59" s="3" t="s">
        <v>60</v>
      </c>
      <c r="D59" s="3" t="s">
        <v>160</v>
      </c>
      <c r="E59" s="3" t="s">
        <v>30</v>
      </c>
      <c r="F59" s="3" t="s">
        <v>116</v>
      </c>
      <c r="G59" s="3"/>
      <c r="H59" s="3" t="s">
        <v>194</v>
      </c>
      <c r="I59" s="3" t="s">
        <v>43</v>
      </c>
      <c r="J59" s="3" t="s">
        <v>118</v>
      </c>
    </row>
    <row r="60" spans="1:10" x14ac:dyDescent="0.3">
      <c r="A60" s="3">
        <v>30</v>
      </c>
      <c r="B60" s="3" t="s">
        <v>195</v>
      </c>
      <c r="C60" s="3" t="s">
        <v>196</v>
      </c>
      <c r="D60" s="3" t="s">
        <v>197</v>
      </c>
      <c r="E60" s="3" t="s">
        <v>29</v>
      </c>
      <c r="F60" s="3" t="s">
        <v>198</v>
      </c>
      <c r="G60" s="3"/>
      <c r="H60" s="3" t="s">
        <v>199</v>
      </c>
      <c r="I60" s="3" t="s">
        <v>45</v>
      </c>
      <c r="J60" s="3" t="s">
        <v>200</v>
      </c>
    </row>
    <row r="61" spans="1:10" x14ac:dyDescent="0.3">
      <c r="A61" s="3">
        <v>30</v>
      </c>
      <c r="B61" s="3" t="s">
        <v>195</v>
      </c>
      <c r="C61" s="3" t="s">
        <v>196</v>
      </c>
      <c r="D61" s="3" t="s">
        <v>197</v>
      </c>
      <c r="E61" s="3" t="s">
        <v>30</v>
      </c>
      <c r="F61" s="3" t="s">
        <v>198</v>
      </c>
      <c r="G61" s="3"/>
      <c r="H61" s="3" t="s">
        <v>201</v>
      </c>
      <c r="I61" s="3" t="s">
        <v>45</v>
      </c>
      <c r="J61" s="3" t="s">
        <v>200</v>
      </c>
    </row>
    <row r="62" spans="1:10" x14ac:dyDescent="0.3">
      <c r="A62" s="3">
        <v>31</v>
      </c>
      <c r="B62" s="3" t="s">
        <v>202</v>
      </c>
      <c r="C62" s="3" t="s">
        <v>60</v>
      </c>
      <c r="D62" s="3" t="s">
        <v>160</v>
      </c>
      <c r="E62" s="3" t="s">
        <v>29</v>
      </c>
      <c r="F62" s="3" t="s">
        <v>116</v>
      </c>
      <c r="G62" s="3"/>
      <c r="H62" s="3" t="s">
        <v>203</v>
      </c>
      <c r="I62" s="3" t="s">
        <v>43</v>
      </c>
      <c r="J62" s="3" t="s">
        <v>118</v>
      </c>
    </row>
    <row r="63" spans="1:10" x14ac:dyDescent="0.3">
      <c r="A63" s="3">
        <v>31</v>
      </c>
      <c r="B63" s="3" t="s">
        <v>202</v>
      </c>
      <c r="C63" s="3" t="s">
        <v>60</v>
      </c>
      <c r="D63" s="3" t="s">
        <v>160</v>
      </c>
      <c r="E63" s="3" t="s">
        <v>30</v>
      </c>
      <c r="F63" s="3" t="s">
        <v>116</v>
      </c>
      <c r="G63" s="3"/>
      <c r="H63" s="3" t="s">
        <v>204</v>
      </c>
      <c r="I63" s="3" t="s">
        <v>43</v>
      </c>
      <c r="J63" s="3" t="s">
        <v>118</v>
      </c>
    </row>
    <row r="64" spans="1:10" x14ac:dyDescent="0.3">
      <c r="A64" s="3">
        <v>32</v>
      </c>
      <c r="B64" s="3" t="s">
        <v>205</v>
      </c>
      <c r="C64" s="3" t="s">
        <v>60</v>
      </c>
      <c r="D64" s="3" t="s">
        <v>160</v>
      </c>
      <c r="E64" s="3" t="s">
        <v>29</v>
      </c>
      <c r="F64" s="3" t="s">
        <v>116</v>
      </c>
      <c r="G64" s="3"/>
      <c r="H64" s="3" t="s">
        <v>206</v>
      </c>
      <c r="I64" s="3" t="s">
        <v>43</v>
      </c>
      <c r="J64" s="3" t="s">
        <v>118</v>
      </c>
    </row>
    <row r="65" spans="1:10" x14ac:dyDescent="0.3">
      <c r="A65" s="3">
        <v>32</v>
      </c>
      <c r="B65" s="3" t="s">
        <v>205</v>
      </c>
      <c r="C65" s="3" t="s">
        <v>60</v>
      </c>
      <c r="D65" s="3" t="s">
        <v>160</v>
      </c>
      <c r="E65" s="3" t="s">
        <v>30</v>
      </c>
      <c r="F65" s="3" t="s">
        <v>116</v>
      </c>
      <c r="G65" s="3"/>
      <c r="H65" s="3" t="s">
        <v>207</v>
      </c>
      <c r="I65" s="3" t="s">
        <v>43</v>
      </c>
      <c r="J65" s="3" t="s">
        <v>118</v>
      </c>
    </row>
    <row r="66" spans="1:10" x14ac:dyDescent="0.3">
      <c r="A66" s="3">
        <v>33</v>
      </c>
      <c r="B66" s="3" t="s">
        <v>208</v>
      </c>
      <c r="C66" s="3" t="s">
        <v>60</v>
      </c>
      <c r="D66" s="3" t="s">
        <v>160</v>
      </c>
      <c r="E66" s="3" t="s">
        <v>29</v>
      </c>
      <c r="F66" s="3" t="s">
        <v>116</v>
      </c>
      <c r="G66" s="3"/>
      <c r="H66" s="3" t="s">
        <v>209</v>
      </c>
      <c r="I66" s="3" t="s">
        <v>43</v>
      </c>
      <c r="J66" s="3" t="s">
        <v>118</v>
      </c>
    </row>
    <row r="67" spans="1:10" x14ac:dyDescent="0.3">
      <c r="A67" s="3">
        <v>33</v>
      </c>
      <c r="B67" s="3" t="s">
        <v>208</v>
      </c>
      <c r="C67" s="3" t="s">
        <v>60</v>
      </c>
      <c r="D67" s="3" t="s">
        <v>160</v>
      </c>
      <c r="E67" s="3" t="s">
        <v>30</v>
      </c>
      <c r="F67" s="3" t="s">
        <v>116</v>
      </c>
      <c r="G67" s="3"/>
      <c r="H67" s="3" t="s">
        <v>210</v>
      </c>
      <c r="I67" s="3" t="s">
        <v>43</v>
      </c>
      <c r="J67" s="3" t="s">
        <v>118</v>
      </c>
    </row>
    <row r="68" spans="1:10" x14ac:dyDescent="0.3">
      <c r="A68" s="3">
        <v>34</v>
      </c>
      <c r="B68" s="3" t="s">
        <v>211</v>
      </c>
      <c r="C68" s="3" t="s">
        <v>60</v>
      </c>
      <c r="D68" s="3" t="s">
        <v>160</v>
      </c>
      <c r="E68" s="3" t="s">
        <v>29</v>
      </c>
      <c r="F68" s="3" t="s">
        <v>116</v>
      </c>
      <c r="G68" s="3"/>
      <c r="H68" s="3" t="s">
        <v>212</v>
      </c>
      <c r="I68" s="3" t="s">
        <v>43</v>
      </c>
      <c r="J68" s="3" t="s">
        <v>118</v>
      </c>
    </row>
    <row r="69" spans="1:10" x14ac:dyDescent="0.3">
      <c r="A69" s="3">
        <v>34</v>
      </c>
      <c r="B69" s="3" t="s">
        <v>211</v>
      </c>
      <c r="C69" s="3" t="s">
        <v>60</v>
      </c>
      <c r="D69" s="3" t="s">
        <v>160</v>
      </c>
      <c r="E69" s="3" t="s">
        <v>30</v>
      </c>
      <c r="F69" s="3" t="s">
        <v>116</v>
      </c>
      <c r="G69" s="3"/>
      <c r="H69" s="3" t="s">
        <v>213</v>
      </c>
      <c r="I69" s="3" t="s">
        <v>43</v>
      </c>
      <c r="J69" s="3" t="s">
        <v>118</v>
      </c>
    </row>
    <row r="70" spans="1:10" x14ac:dyDescent="0.3">
      <c r="A70" s="3">
        <v>35</v>
      </c>
      <c r="B70" s="3" t="s">
        <v>214</v>
      </c>
      <c r="C70" s="3" t="s">
        <v>167</v>
      </c>
      <c r="D70" s="3" t="s">
        <v>168</v>
      </c>
      <c r="E70" s="3" t="s">
        <v>29</v>
      </c>
      <c r="F70" s="3" t="s">
        <v>169</v>
      </c>
      <c r="G70" s="3"/>
      <c r="H70" s="3" t="s">
        <v>215</v>
      </c>
      <c r="I70" s="3" t="s">
        <v>43</v>
      </c>
      <c r="J70" s="3" t="s">
        <v>171</v>
      </c>
    </row>
    <row r="71" spans="1:10" x14ac:dyDescent="0.3">
      <c r="A71" s="3">
        <v>35</v>
      </c>
      <c r="B71" s="3" t="s">
        <v>214</v>
      </c>
      <c r="C71" s="3" t="s">
        <v>167</v>
      </c>
      <c r="D71" s="3" t="s">
        <v>168</v>
      </c>
      <c r="E71" s="3" t="s">
        <v>30</v>
      </c>
      <c r="F71" s="3" t="s">
        <v>169</v>
      </c>
      <c r="G71" s="3"/>
      <c r="H71" s="3" t="s">
        <v>216</v>
      </c>
      <c r="I71" s="3" t="s">
        <v>43</v>
      </c>
      <c r="J71" s="3" t="s">
        <v>171</v>
      </c>
    </row>
    <row r="72" spans="1:10" x14ac:dyDescent="0.3">
      <c r="A72" s="3">
        <v>36</v>
      </c>
      <c r="B72" s="3" t="s">
        <v>217</v>
      </c>
      <c r="C72" s="3" t="s">
        <v>60</v>
      </c>
      <c r="D72" s="3" t="s">
        <v>160</v>
      </c>
      <c r="E72" s="3" t="s">
        <v>29</v>
      </c>
      <c r="F72" s="3" t="s">
        <v>116</v>
      </c>
      <c r="G72" s="3"/>
      <c r="H72" s="3" t="s">
        <v>218</v>
      </c>
      <c r="I72" s="3" t="s">
        <v>43</v>
      </c>
      <c r="J72" s="3" t="s">
        <v>118</v>
      </c>
    </row>
    <row r="73" spans="1:10" x14ac:dyDescent="0.3">
      <c r="A73" s="3">
        <v>36</v>
      </c>
      <c r="B73" s="3" t="s">
        <v>217</v>
      </c>
      <c r="C73" s="3" t="s">
        <v>60</v>
      </c>
      <c r="D73" s="3" t="s">
        <v>160</v>
      </c>
      <c r="E73" s="3" t="s">
        <v>30</v>
      </c>
      <c r="F73" s="3" t="s">
        <v>116</v>
      </c>
      <c r="G73" s="3"/>
      <c r="H73" s="3" t="s">
        <v>219</v>
      </c>
      <c r="I73" s="3" t="s">
        <v>43</v>
      </c>
      <c r="J73" s="3" t="s">
        <v>118</v>
      </c>
    </row>
    <row r="74" spans="1:10" x14ac:dyDescent="0.3">
      <c r="A74" s="3">
        <v>37</v>
      </c>
      <c r="B74" s="3" t="s">
        <v>220</v>
      </c>
      <c r="C74" s="3" t="s">
        <v>114</v>
      </c>
      <c r="D74" s="3" t="s">
        <v>154</v>
      </c>
      <c r="E74" s="3" t="s">
        <v>29</v>
      </c>
      <c r="F74" s="3" t="s">
        <v>155</v>
      </c>
      <c r="G74" s="3"/>
      <c r="H74" s="3" t="s">
        <v>221</v>
      </c>
      <c r="I74" s="3" t="s">
        <v>43</v>
      </c>
      <c r="J74" s="3" t="s">
        <v>157</v>
      </c>
    </row>
    <row r="75" spans="1:10" x14ac:dyDescent="0.3">
      <c r="A75" s="3">
        <v>37</v>
      </c>
      <c r="B75" s="3" t="s">
        <v>220</v>
      </c>
      <c r="C75" s="3" t="s">
        <v>114</v>
      </c>
      <c r="D75" s="3" t="s">
        <v>154</v>
      </c>
      <c r="E75" s="3" t="s">
        <v>30</v>
      </c>
      <c r="F75" s="3" t="s">
        <v>155</v>
      </c>
      <c r="G75" s="3"/>
      <c r="H75" s="3" t="s">
        <v>222</v>
      </c>
      <c r="I75" s="3" t="s">
        <v>43</v>
      </c>
      <c r="J75" s="3" t="s">
        <v>157</v>
      </c>
    </row>
    <row r="76" spans="1:10" x14ac:dyDescent="0.3">
      <c r="A76" s="3">
        <v>38</v>
      </c>
      <c r="B76" s="3" t="s">
        <v>223</v>
      </c>
      <c r="C76" s="3" t="s">
        <v>114</v>
      </c>
      <c r="D76" s="3" t="s">
        <v>115</v>
      </c>
      <c r="E76" s="3" t="s">
        <v>29</v>
      </c>
      <c r="F76" s="3" t="s">
        <v>116</v>
      </c>
      <c r="G76" s="3"/>
      <c r="H76" s="3" t="s">
        <v>224</v>
      </c>
      <c r="I76" s="3" t="s">
        <v>43</v>
      </c>
      <c r="J76" s="3" t="s">
        <v>118</v>
      </c>
    </row>
    <row r="77" spans="1:10" x14ac:dyDescent="0.3">
      <c r="A77" s="3">
        <v>38</v>
      </c>
      <c r="B77" s="3" t="s">
        <v>223</v>
      </c>
      <c r="C77" s="3" t="s">
        <v>114</v>
      </c>
      <c r="D77" s="3" t="s">
        <v>115</v>
      </c>
      <c r="E77" s="3" t="s">
        <v>30</v>
      </c>
      <c r="F77" s="3" t="s">
        <v>116</v>
      </c>
      <c r="G77" s="3"/>
      <c r="H77" s="3" t="s">
        <v>225</v>
      </c>
      <c r="I77" s="3" t="s">
        <v>43</v>
      </c>
      <c r="J77" s="3" t="s">
        <v>118</v>
      </c>
    </row>
    <row r="78" spans="1:10" x14ac:dyDescent="0.3">
      <c r="A78" s="3">
        <v>39</v>
      </c>
      <c r="B78" s="3" t="s">
        <v>226</v>
      </c>
      <c r="C78" s="3" t="s">
        <v>167</v>
      </c>
      <c r="D78" s="3" t="s">
        <v>168</v>
      </c>
      <c r="E78" s="3" t="s">
        <v>29</v>
      </c>
      <c r="F78" s="3" t="s">
        <v>169</v>
      </c>
      <c r="G78" s="3"/>
      <c r="H78" s="3" t="s">
        <v>227</v>
      </c>
      <c r="I78" s="3" t="s">
        <v>43</v>
      </c>
      <c r="J78" s="3" t="s">
        <v>171</v>
      </c>
    </row>
    <row r="79" spans="1:10" x14ac:dyDescent="0.3">
      <c r="A79" s="3">
        <v>39</v>
      </c>
      <c r="B79" s="3" t="s">
        <v>226</v>
      </c>
      <c r="C79" s="3" t="s">
        <v>167</v>
      </c>
      <c r="D79" s="3" t="s">
        <v>168</v>
      </c>
      <c r="E79" s="3" t="s">
        <v>30</v>
      </c>
      <c r="F79" s="3" t="s">
        <v>169</v>
      </c>
      <c r="G79" s="3"/>
      <c r="H79" s="3" t="s">
        <v>228</v>
      </c>
      <c r="I79" s="3" t="s">
        <v>43</v>
      </c>
      <c r="J79" s="3" t="s">
        <v>171</v>
      </c>
    </row>
    <row r="80" spans="1:10" x14ac:dyDescent="0.3">
      <c r="A80" s="3">
        <v>40</v>
      </c>
      <c r="B80" s="3" t="s">
        <v>229</v>
      </c>
      <c r="C80" s="3" t="s">
        <v>114</v>
      </c>
      <c r="D80" s="3" t="s">
        <v>115</v>
      </c>
      <c r="E80" s="3" t="s">
        <v>29</v>
      </c>
      <c r="F80" s="3" t="s">
        <v>116</v>
      </c>
      <c r="G80" s="3"/>
      <c r="H80" s="3" t="s">
        <v>230</v>
      </c>
      <c r="I80" s="3" t="s">
        <v>43</v>
      </c>
      <c r="J80" s="3" t="s">
        <v>118</v>
      </c>
    </row>
    <row r="81" spans="1:10" x14ac:dyDescent="0.3">
      <c r="A81" s="3">
        <v>40</v>
      </c>
      <c r="B81" s="3" t="s">
        <v>229</v>
      </c>
      <c r="C81" s="3" t="s">
        <v>114</v>
      </c>
      <c r="D81" s="3" t="s">
        <v>115</v>
      </c>
      <c r="E81" s="3" t="s">
        <v>30</v>
      </c>
      <c r="F81" s="3" t="s">
        <v>116</v>
      </c>
      <c r="G81" s="3"/>
      <c r="H81" s="3" t="s">
        <v>231</v>
      </c>
      <c r="I81" s="3" t="s">
        <v>43</v>
      </c>
      <c r="J81" s="3" t="s">
        <v>118</v>
      </c>
    </row>
    <row r="82" spans="1:10" x14ac:dyDescent="0.3">
      <c r="A82" s="3">
        <v>41</v>
      </c>
      <c r="B82" s="3" t="s">
        <v>232</v>
      </c>
      <c r="C82" s="3" t="s">
        <v>114</v>
      </c>
      <c r="D82" s="3" t="s">
        <v>115</v>
      </c>
      <c r="E82" s="3" t="s">
        <v>29</v>
      </c>
      <c r="F82" s="3" t="s">
        <v>116</v>
      </c>
      <c r="G82" s="3"/>
      <c r="H82" s="3" t="s">
        <v>233</v>
      </c>
      <c r="I82" s="3" t="s">
        <v>43</v>
      </c>
      <c r="J82" s="3" t="s">
        <v>118</v>
      </c>
    </row>
    <row r="83" spans="1:10" x14ac:dyDescent="0.3">
      <c r="A83" s="3">
        <v>41</v>
      </c>
      <c r="B83" s="3" t="s">
        <v>232</v>
      </c>
      <c r="C83" s="3" t="s">
        <v>114</v>
      </c>
      <c r="D83" s="3" t="s">
        <v>115</v>
      </c>
      <c r="E83" s="3" t="s">
        <v>30</v>
      </c>
      <c r="F83" s="3" t="s">
        <v>116</v>
      </c>
      <c r="G83" s="3"/>
      <c r="H83" s="3" t="s">
        <v>234</v>
      </c>
      <c r="I83" s="3" t="s">
        <v>43</v>
      </c>
      <c r="J83" s="3" t="s">
        <v>118</v>
      </c>
    </row>
    <row r="84" spans="1:10" x14ac:dyDescent="0.3">
      <c r="A84" s="3">
        <v>42</v>
      </c>
      <c r="B84" s="3" t="s">
        <v>235</v>
      </c>
      <c r="C84" s="3" t="s">
        <v>114</v>
      </c>
      <c r="D84" s="3" t="s">
        <v>115</v>
      </c>
      <c r="E84" s="3" t="s">
        <v>29</v>
      </c>
      <c r="F84" s="3" t="s">
        <v>116</v>
      </c>
      <c r="G84" s="3"/>
      <c r="H84" s="3" t="s">
        <v>236</v>
      </c>
      <c r="I84" s="3" t="s">
        <v>43</v>
      </c>
      <c r="J84" s="3" t="s">
        <v>118</v>
      </c>
    </row>
    <row r="85" spans="1:10" x14ac:dyDescent="0.3">
      <c r="A85" s="3">
        <v>42</v>
      </c>
      <c r="B85" s="3" t="s">
        <v>235</v>
      </c>
      <c r="C85" s="3" t="s">
        <v>114</v>
      </c>
      <c r="D85" s="3" t="s">
        <v>115</v>
      </c>
      <c r="E85" s="3" t="s">
        <v>30</v>
      </c>
      <c r="F85" s="3" t="s">
        <v>116</v>
      </c>
      <c r="G85" s="3"/>
      <c r="H85" s="3" t="s">
        <v>237</v>
      </c>
      <c r="I85" s="3" t="s">
        <v>43</v>
      </c>
      <c r="J85" s="3" t="s">
        <v>118</v>
      </c>
    </row>
    <row r="86" spans="1:10" x14ac:dyDescent="0.3">
      <c r="A86" s="3">
        <v>43</v>
      </c>
      <c r="B86" s="3" t="s">
        <v>238</v>
      </c>
      <c r="C86" s="3" t="s">
        <v>114</v>
      </c>
      <c r="D86" s="3" t="s">
        <v>115</v>
      </c>
      <c r="E86" s="3" t="s">
        <v>29</v>
      </c>
      <c r="F86" s="3" t="s">
        <v>116</v>
      </c>
      <c r="G86" s="3"/>
      <c r="H86" s="3" t="s">
        <v>239</v>
      </c>
      <c r="I86" s="3" t="s">
        <v>43</v>
      </c>
      <c r="J86" s="3" t="s">
        <v>118</v>
      </c>
    </row>
    <row r="87" spans="1:10" x14ac:dyDescent="0.3">
      <c r="A87" s="3">
        <v>43</v>
      </c>
      <c r="B87" s="3" t="s">
        <v>238</v>
      </c>
      <c r="C87" s="3" t="s">
        <v>114</v>
      </c>
      <c r="D87" s="3" t="s">
        <v>115</v>
      </c>
      <c r="E87" s="3" t="s">
        <v>30</v>
      </c>
      <c r="F87" s="3" t="s">
        <v>116</v>
      </c>
      <c r="G87" s="3"/>
      <c r="H87" s="3" t="s">
        <v>240</v>
      </c>
      <c r="I87" s="3" t="s">
        <v>43</v>
      </c>
      <c r="J87" s="3" t="s">
        <v>118</v>
      </c>
    </row>
    <row r="88" spans="1:10" x14ac:dyDescent="0.3">
      <c r="A88" s="3">
        <v>44</v>
      </c>
      <c r="B88" s="3" t="s">
        <v>241</v>
      </c>
      <c r="C88" s="3" t="s">
        <v>114</v>
      </c>
      <c r="D88" s="3" t="s">
        <v>115</v>
      </c>
      <c r="E88" s="3" t="s">
        <v>29</v>
      </c>
      <c r="F88" s="3" t="s">
        <v>116</v>
      </c>
      <c r="G88" s="3"/>
      <c r="H88" s="3" t="s">
        <v>242</v>
      </c>
      <c r="I88" s="3" t="s">
        <v>43</v>
      </c>
      <c r="J88" s="3" t="s">
        <v>118</v>
      </c>
    </row>
    <row r="89" spans="1:10" x14ac:dyDescent="0.3">
      <c r="A89" s="3">
        <v>44</v>
      </c>
      <c r="B89" s="3" t="s">
        <v>241</v>
      </c>
      <c r="C89" s="3" t="s">
        <v>114</v>
      </c>
      <c r="D89" s="3" t="s">
        <v>115</v>
      </c>
      <c r="E89" s="3" t="s">
        <v>30</v>
      </c>
      <c r="F89" s="3" t="s">
        <v>116</v>
      </c>
      <c r="G89" s="3"/>
      <c r="H89" s="3" t="s">
        <v>243</v>
      </c>
      <c r="I89" s="3" t="s">
        <v>43</v>
      </c>
      <c r="J89" s="3" t="s">
        <v>118</v>
      </c>
    </row>
    <row r="90" spans="1:10" x14ac:dyDescent="0.3">
      <c r="A90" s="3">
        <v>45</v>
      </c>
      <c r="B90" s="3" t="s">
        <v>244</v>
      </c>
      <c r="C90" s="3" t="s">
        <v>114</v>
      </c>
      <c r="D90" s="3" t="s">
        <v>154</v>
      </c>
      <c r="E90" s="3" t="s">
        <v>29</v>
      </c>
      <c r="F90" s="3" t="s">
        <v>155</v>
      </c>
      <c r="G90" s="3"/>
      <c r="H90" s="3" t="s">
        <v>245</v>
      </c>
      <c r="I90" s="3" t="s">
        <v>43</v>
      </c>
      <c r="J90" s="3" t="s">
        <v>157</v>
      </c>
    </row>
    <row r="91" spans="1:10" x14ac:dyDescent="0.3">
      <c r="A91" s="3">
        <v>45</v>
      </c>
      <c r="B91" s="3" t="s">
        <v>244</v>
      </c>
      <c r="C91" s="3" t="s">
        <v>114</v>
      </c>
      <c r="D91" s="3" t="s">
        <v>154</v>
      </c>
      <c r="E91" s="3" t="s">
        <v>30</v>
      </c>
      <c r="F91" s="3" t="s">
        <v>155</v>
      </c>
      <c r="G91" s="3"/>
      <c r="H91" s="3" t="s">
        <v>246</v>
      </c>
      <c r="I91" s="3" t="s">
        <v>43</v>
      </c>
      <c r="J91" s="3" t="s">
        <v>157</v>
      </c>
    </row>
    <row r="92" spans="1:10" x14ac:dyDescent="0.3">
      <c r="A92" s="3">
        <v>46</v>
      </c>
      <c r="B92" s="3" t="s">
        <v>247</v>
      </c>
      <c r="C92" s="3" t="s">
        <v>114</v>
      </c>
      <c r="D92" s="3" t="s">
        <v>154</v>
      </c>
      <c r="E92" s="3" t="s">
        <v>29</v>
      </c>
      <c r="F92" s="3" t="s">
        <v>155</v>
      </c>
      <c r="G92" s="3"/>
      <c r="H92" s="3" t="s">
        <v>248</v>
      </c>
      <c r="I92" s="3" t="s">
        <v>43</v>
      </c>
      <c r="J92" s="3" t="s">
        <v>157</v>
      </c>
    </row>
    <row r="93" spans="1:10" x14ac:dyDescent="0.3">
      <c r="A93" s="3">
        <v>46</v>
      </c>
      <c r="B93" s="3" t="s">
        <v>247</v>
      </c>
      <c r="C93" s="3" t="s">
        <v>114</v>
      </c>
      <c r="D93" s="3" t="s">
        <v>154</v>
      </c>
      <c r="E93" s="3" t="s">
        <v>30</v>
      </c>
      <c r="F93" s="3" t="s">
        <v>155</v>
      </c>
      <c r="G93" s="3"/>
      <c r="H93" s="3" t="s">
        <v>249</v>
      </c>
      <c r="I93" s="3" t="s">
        <v>43</v>
      </c>
      <c r="J93" s="3" t="s">
        <v>157</v>
      </c>
    </row>
    <row r="94" spans="1:10" x14ac:dyDescent="0.3">
      <c r="A94" s="3">
        <v>47</v>
      </c>
      <c r="B94" s="3" t="s">
        <v>250</v>
      </c>
      <c r="C94" s="3" t="s">
        <v>114</v>
      </c>
      <c r="D94" s="3" t="s">
        <v>115</v>
      </c>
      <c r="E94" s="3" t="s">
        <v>29</v>
      </c>
      <c r="F94" s="3" t="s">
        <v>116</v>
      </c>
      <c r="G94" s="3"/>
      <c r="H94" s="3" t="s">
        <v>251</v>
      </c>
      <c r="I94" s="3" t="s">
        <v>43</v>
      </c>
      <c r="J94" s="3" t="s">
        <v>118</v>
      </c>
    </row>
    <row r="95" spans="1:10" x14ac:dyDescent="0.3">
      <c r="A95" s="3">
        <v>47</v>
      </c>
      <c r="B95" s="3" t="s">
        <v>250</v>
      </c>
      <c r="C95" s="3" t="s">
        <v>114</v>
      </c>
      <c r="D95" s="3" t="s">
        <v>115</v>
      </c>
      <c r="E95" s="3" t="s">
        <v>30</v>
      </c>
      <c r="F95" s="3" t="s">
        <v>116</v>
      </c>
      <c r="G95" s="3"/>
      <c r="H95" s="3" t="s">
        <v>252</v>
      </c>
      <c r="I95" s="3" t="s">
        <v>43</v>
      </c>
      <c r="J95" s="3" t="s">
        <v>118</v>
      </c>
    </row>
    <row r="96" spans="1:10" x14ac:dyDescent="0.3">
      <c r="A96" s="3">
        <v>48</v>
      </c>
      <c r="B96" s="3" t="s">
        <v>253</v>
      </c>
      <c r="C96" s="3" t="s">
        <v>114</v>
      </c>
      <c r="D96" s="3" t="s">
        <v>115</v>
      </c>
      <c r="E96" s="3" t="s">
        <v>29</v>
      </c>
      <c r="F96" s="3" t="s">
        <v>116</v>
      </c>
      <c r="G96" s="3"/>
      <c r="H96" s="3" t="s">
        <v>254</v>
      </c>
      <c r="I96" s="3" t="s">
        <v>43</v>
      </c>
      <c r="J96" s="3" t="s">
        <v>118</v>
      </c>
    </row>
    <row r="97" spans="1:10" x14ac:dyDescent="0.3">
      <c r="A97" s="3">
        <v>48</v>
      </c>
      <c r="B97" s="3" t="s">
        <v>253</v>
      </c>
      <c r="C97" s="3" t="s">
        <v>114</v>
      </c>
      <c r="D97" s="3" t="s">
        <v>115</v>
      </c>
      <c r="E97" s="3" t="s">
        <v>30</v>
      </c>
      <c r="F97" s="3" t="s">
        <v>116</v>
      </c>
      <c r="G97" s="3"/>
      <c r="H97" s="3" t="s">
        <v>255</v>
      </c>
      <c r="I97" s="3" t="s">
        <v>43</v>
      </c>
      <c r="J97" s="3" t="s">
        <v>118</v>
      </c>
    </row>
    <row r="98" spans="1:10" x14ac:dyDescent="0.3">
      <c r="A98" s="3">
        <v>49</v>
      </c>
      <c r="B98" s="3" t="s">
        <v>256</v>
      </c>
      <c r="C98" s="3" t="s">
        <v>114</v>
      </c>
      <c r="D98" s="3" t="s">
        <v>115</v>
      </c>
      <c r="E98" s="3" t="s">
        <v>29</v>
      </c>
      <c r="F98" s="3" t="s">
        <v>116</v>
      </c>
      <c r="G98" s="3"/>
      <c r="H98" s="3" t="s">
        <v>257</v>
      </c>
      <c r="I98" s="3" t="s">
        <v>43</v>
      </c>
      <c r="J98" s="3" t="s">
        <v>118</v>
      </c>
    </row>
    <row r="99" spans="1:10" x14ac:dyDescent="0.3">
      <c r="A99" s="3">
        <v>49</v>
      </c>
      <c r="B99" s="3" t="s">
        <v>256</v>
      </c>
      <c r="C99" s="3" t="s">
        <v>114</v>
      </c>
      <c r="D99" s="3" t="s">
        <v>115</v>
      </c>
      <c r="E99" s="3" t="s">
        <v>30</v>
      </c>
      <c r="F99" s="3" t="s">
        <v>116</v>
      </c>
      <c r="G99" s="3"/>
      <c r="H99" s="3" t="s">
        <v>258</v>
      </c>
      <c r="I99" s="3" t="s">
        <v>43</v>
      </c>
      <c r="J99" s="3" t="s">
        <v>118</v>
      </c>
    </row>
    <row r="100" spans="1:10" x14ac:dyDescent="0.3">
      <c r="A100" s="3">
        <v>50</v>
      </c>
      <c r="B100" s="3" t="s">
        <v>259</v>
      </c>
      <c r="C100" s="3" t="s">
        <v>114</v>
      </c>
      <c r="D100" s="3" t="s">
        <v>115</v>
      </c>
      <c r="E100" s="3" t="s">
        <v>29</v>
      </c>
      <c r="F100" s="3" t="s">
        <v>116</v>
      </c>
      <c r="G100" s="3"/>
      <c r="H100" s="3" t="s">
        <v>260</v>
      </c>
      <c r="I100" s="3" t="s">
        <v>43</v>
      </c>
      <c r="J100" s="3" t="s">
        <v>118</v>
      </c>
    </row>
    <row r="101" spans="1:10" x14ac:dyDescent="0.3">
      <c r="A101" s="3">
        <v>50</v>
      </c>
      <c r="B101" s="3" t="s">
        <v>259</v>
      </c>
      <c r="C101" s="3" t="s">
        <v>114</v>
      </c>
      <c r="D101" s="3" t="s">
        <v>115</v>
      </c>
      <c r="E101" s="3" t="s">
        <v>30</v>
      </c>
      <c r="F101" s="3" t="s">
        <v>116</v>
      </c>
      <c r="G101" s="3"/>
      <c r="H101" s="3" t="s">
        <v>261</v>
      </c>
      <c r="I101" s="3" t="s">
        <v>43</v>
      </c>
      <c r="J101" s="3" t="s">
        <v>118</v>
      </c>
    </row>
    <row r="102" spans="1:10" x14ac:dyDescent="0.3">
      <c r="A102" s="3">
        <v>51</v>
      </c>
      <c r="B102" s="3" t="s">
        <v>262</v>
      </c>
      <c r="C102" s="3" t="s">
        <v>114</v>
      </c>
      <c r="D102" s="3" t="s">
        <v>115</v>
      </c>
      <c r="E102" s="3" t="s">
        <v>29</v>
      </c>
      <c r="F102" s="3" t="s">
        <v>116</v>
      </c>
      <c r="G102" s="3"/>
      <c r="H102" s="3" t="s">
        <v>263</v>
      </c>
      <c r="I102" s="3" t="s">
        <v>43</v>
      </c>
      <c r="J102" s="3" t="s">
        <v>118</v>
      </c>
    </row>
    <row r="103" spans="1:10" x14ac:dyDescent="0.3">
      <c r="A103" s="3">
        <v>51</v>
      </c>
      <c r="B103" s="3" t="s">
        <v>262</v>
      </c>
      <c r="C103" s="3" t="s">
        <v>114</v>
      </c>
      <c r="D103" s="3" t="s">
        <v>115</v>
      </c>
      <c r="E103" s="3" t="s">
        <v>30</v>
      </c>
      <c r="F103" s="3" t="s">
        <v>116</v>
      </c>
      <c r="G103" s="3"/>
      <c r="H103" s="3" t="s">
        <v>264</v>
      </c>
      <c r="I103" s="3" t="s">
        <v>43</v>
      </c>
      <c r="J103" s="3" t="s">
        <v>118</v>
      </c>
    </row>
    <row r="104" spans="1:10" x14ac:dyDescent="0.3">
      <c r="A104" s="3">
        <v>52</v>
      </c>
      <c r="B104" s="3" t="s">
        <v>265</v>
      </c>
      <c r="C104" s="3" t="s">
        <v>114</v>
      </c>
      <c r="D104" s="3" t="s">
        <v>115</v>
      </c>
      <c r="E104" s="3" t="s">
        <v>29</v>
      </c>
      <c r="F104" s="3" t="s">
        <v>116</v>
      </c>
      <c r="G104" s="3"/>
      <c r="H104" s="3" t="s">
        <v>266</v>
      </c>
      <c r="I104" s="3" t="s">
        <v>43</v>
      </c>
      <c r="J104" s="3" t="s">
        <v>118</v>
      </c>
    </row>
    <row r="105" spans="1:10" x14ac:dyDescent="0.3">
      <c r="A105" s="3">
        <v>52</v>
      </c>
      <c r="B105" s="3" t="s">
        <v>265</v>
      </c>
      <c r="C105" s="3" t="s">
        <v>114</v>
      </c>
      <c r="D105" s="3" t="s">
        <v>115</v>
      </c>
      <c r="E105" s="3" t="s">
        <v>30</v>
      </c>
      <c r="F105" s="3" t="s">
        <v>116</v>
      </c>
      <c r="G105" s="3"/>
      <c r="H105" s="3" t="s">
        <v>267</v>
      </c>
      <c r="I105" s="3" t="s">
        <v>43</v>
      </c>
      <c r="J105" s="3" t="s">
        <v>118</v>
      </c>
    </row>
    <row r="106" spans="1:10" x14ac:dyDescent="0.3">
      <c r="A106" s="3">
        <v>53</v>
      </c>
      <c r="B106" s="3" t="s">
        <v>268</v>
      </c>
      <c r="C106" s="3" t="s">
        <v>114</v>
      </c>
      <c r="D106" s="3" t="s">
        <v>115</v>
      </c>
      <c r="E106" s="3" t="s">
        <v>29</v>
      </c>
      <c r="F106" s="3" t="s">
        <v>116</v>
      </c>
      <c r="G106" s="3"/>
      <c r="H106" s="3" t="s">
        <v>269</v>
      </c>
      <c r="I106" s="3" t="s">
        <v>43</v>
      </c>
      <c r="J106" s="3" t="s">
        <v>118</v>
      </c>
    </row>
    <row r="107" spans="1:10" x14ac:dyDescent="0.3">
      <c r="A107" s="3">
        <v>53</v>
      </c>
      <c r="B107" s="3" t="s">
        <v>268</v>
      </c>
      <c r="C107" s="3" t="s">
        <v>114</v>
      </c>
      <c r="D107" s="3" t="s">
        <v>115</v>
      </c>
      <c r="E107" s="3" t="s">
        <v>30</v>
      </c>
      <c r="F107" s="3" t="s">
        <v>116</v>
      </c>
      <c r="G107" s="3"/>
      <c r="H107" s="3" t="s">
        <v>270</v>
      </c>
      <c r="I107" s="3" t="s">
        <v>43</v>
      </c>
      <c r="J107" s="3" t="s">
        <v>118</v>
      </c>
    </row>
    <row r="108" spans="1:10" x14ac:dyDescent="0.3">
      <c r="A108" s="3">
        <v>54</v>
      </c>
      <c r="B108" s="3" t="s">
        <v>271</v>
      </c>
      <c r="C108" s="3" t="s">
        <v>114</v>
      </c>
      <c r="D108" s="3" t="s">
        <v>115</v>
      </c>
      <c r="E108" s="3" t="s">
        <v>29</v>
      </c>
      <c r="F108" s="3" t="s">
        <v>116</v>
      </c>
      <c r="G108" s="3"/>
      <c r="H108" s="3" t="s">
        <v>272</v>
      </c>
      <c r="I108" s="3" t="s">
        <v>43</v>
      </c>
      <c r="J108" s="3" t="s">
        <v>118</v>
      </c>
    </row>
    <row r="109" spans="1:10" x14ac:dyDescent="0.3">
      <c r="A109" s="3">
        <v>54</v>
      </c>
      <c r="B109" s="3" t="s">
        <v>271</v>
      </c>
      <c r="C109" s="3" t="s">
        <v>114</v>
      </c>
      <c r="D109" s="3" t="s">
        <v>115</v>
      </c>
      <c r="E109" s="3" t="s">
        <v>30</v>
      </c>
      <c r="F109" s="3" t="s">
        <v>116</v>
      </c>
      <c r="G109" s="3"/>
      <c r="H109" s="3" t="s">
        <v>273</v>
      </c>
      <c r="I109" s="3" t="s">
        <v>43</v>
      </c>
      <c r="J109" s="3" t="s">
        <v>118</v>
      </c>
    </row>
    <row r="110" spans="1:10" x14ac:dyDescent="0.3">
      <c r="A110" s="3">
        <v>55</v>
      </c>
      <c r="B110" s="3" t="s">
        <v>274</v>
      </c>
      <c r="C110" s="3" t="s">
        <v>114</v>
      </c>
      <c r="D110" s="3" t="s">
        <v>115</v>
      </c>
      <c r="E110" s="3" t="s">
        <v>29</v>
      </c>
      <c r="F110" s="3" t="s">
        <v>116</v>
      </c>
      <c r="G110" s="3"/>
      <c r="H110" s="3" t="s">
        <v>275</v>
      </c>
      <c r="I110" s="3" t="s">
        <v>43</v>
      </c>
      <c r="J110" s="3" t="s">
        <v>118</v>
      </c>
    </row>
    <row r="111" spans="1:10" x14ac:dyDescent="0.3">
      <c r="A111" s="3">
        <v>55</v>
      </c>
      <c r="B111" s="3" t="s">
        <v>274</v>
      </c>
      <c r="C111" s="3" t="s">
        <v>114</v>
      </c>
      <c r="D111" s="3" t="s">
        <v>115</v>
      </c>
      <c r="E111" s="3" t="s">
        <v>30</v>
      </c>
      <c r="F111" s="3" t="s">
        <v>116</v>
      </c>
      <c r="G111" s="3"/>
      <c r="H111" s="3" t="s">
        <v>276</v>
      </c>
      <c r="I111" s="3" t="s">
        <v>43</v>
      </c>
      <c r="J111" s="3" t="s">
        <v>118</v>
      </c>
    </row>
    <row r="112" spans="1:10" x14ac:dyDescent="0.3">
      <c r="A112" s="3">
        <v>56</v>
      </c>
      <c r="B112" s="3" t="s">
        <v>277</v>
      </c>
      <c r="C112" s="3" t="s">
        <v>114</v>
      </c>
      <c r="D112" s="3" t="s">
        <v>115</v>
      </c>
      <c r="E112" s="3" t="s">
        <v>29</v>
      </c>
      <c r="F112" s="3" t="s">
        <v>116</v>
      </c>
      <c r="G112" s="3"/>
      <c r="H112" s="3" t="s">
        <v>278</v>
      </c>
      <c r="I112" s="3" t="s">
        <v>43</v>
      </c>
      <c r="J112" s="3" t="s">
        <v>118</v>
      </c>
    </row>
    <row r="113" spans="1:10" x14ac:dyDescent="0.3">
      <c r="A113" s="3">
        <v>56</v>
      </c>
      <c r="B113" s="3" t="s">
        <v>277</v>
      </c>
      <c r="C113" s="3" t="s">
        <v>114</v>
      </c>
      <c r="D113" s="3" t="s">
        <v>115</v>
      </c>
      <c r="E113" s="3" t="s">
        <v>30</v>
      </c>
      <c r="F113" s="3" t="s">
        <v>116</v>
      </c>
      <c r="G113" s="3"/>
      <c r="H113" s="3" t="s">
        <v>279</v>
      </c>
      <c r="I113" s="3" t="s">
        <v>43</v>
      </c>
      <c r="J113" s="3" t="s">
        <v>118</v>
      </c>
    </row>
    <row r="114" spans="1:10" x14ac:dyDescent="0.3">
      <c r="A114" s="3">
        <v>57</v>
      </c>
      <c r="B114" s="3" t="s">
        <v>280</v>
      </c>
      <c r="C114" s="3" t="s">
        <v>114</v>
      </c>
      <c r="D114" s="3" t="s">
        <v>115</v>
      </c>
      <c r="E114" s="3" t="s">
        <v>29</v>
      </c>
      <c r="F114" s="3" t="s">
        <v>116</v>
      </c>
      <c r="G114" s="3"/>
      <c r="H114" s="3" t="s">
        <v>281</v>
      </c>
      <c r="I114" s="3" t="s">
        <v>43</v>
      </c>
      <c r="J114" s="3" t="s">
        <v>118</v>
      </c>
    </row>
    <row r="115" spans="1:10" x14ac:dyDescent="0.3">
      <c r="A115" s="3">
        <v>57</v>
      </c>
      <c r="B115" s="3" t="s">
        <v>280</v>
      </c>
      <c r="C115" s="3" t="s">
        <v>114</v>
      </c>
      <c r="D115" s="3" t="s">
        <v>115</v>
      </c>
      <c r="E115" s="3" t="s">
        <v>30</v>
      </c>
      <c r="F115" s="3" t="s">
        <v>116</v>
      </c>
      <c r="G115" s="3"/>
      <c r="H115" s="3" t="s">
        <v>282</v>
      </c>
      <c r="I115" s="3" t="s">
        <v>43</v>
      </c>
      <c r="J115" s="3" t="s">
        <v>118</v>
      </c>
    </row>
    <row r="116" spans="1:10" x14ac:dyDescent="0.3">
      <c r="A116" s="3">
        <v>58</v>
      </c>
      <c r="B116" s="3" t="s">
        <v>283</v>
      </c>
      <c r="C116" s="3" t="s">
        <v>114</v>
      </c>
      <c r="D116" s="3" t="s">
        <v>115</v>
      </c>
      <c r="E116" s="3" t="s">
        <v>29</v>
      </c>
      <c r="F116" s="3" t="s">
        <v>116</v>
      </c>
      <c r="G116" s="3"/>
      <c r="H116" s="3" t="s">
        <v>284</v>
      </c>
      <c r="I116" s="3" t="s">
        <v>43</v>
      </c>
      <c r="J116" s="3" t="s">
        <v>118</v>
      </c>
    </row>
    <row r="117" spans="1:10" x14ac:dyDescent="0.3">
      <c r="A117" s="3">
        <v>58</v>
      </c>
      <c r="B117" s="3" t="s">
        <v>283</v>
      </c>
      <c r="C117" s="3" t="s">
        <v>114</v>
      </c>
      <c r="D117" s="3" t="s">
        <v>115</v>
      </c>
      <c r="E117" s="3" t="s">
        <v>30</v>
      </c>
      <c r="F117" s="3" t="s">
        <v>116</v>
      </c>
      <c r="G117" s="3"/>
      <c r="H117" s="3" t="s">
        <v>285</v>
      </c>
      <c r="I117" s="3" t="s">
        <v>43</v>
      </c>
      <c r="J117" s="3" t="s">
        <v>118</v>
      </c>
    </row>
    <row r="118" spans="1:10" x14ac:dyDescent="0.3">
      <c r="A118" s="3">
        <v>59</v>
      </c>
      <c r="B118" s="3" t="s">
        <v>286</v>
      </c>
      <c r="C118" s="3" t="s">
        <v>114</v>
      </c>
      <c r="D118" s="3" t="s">
        <v>115</v>
      </c>
      <c r="E118" s="3" t="s">
        <v>29</v>
      </c>
      <c r="F118" s="3" t="s">
        <v>116</v>
      </c>
      <c r="G118" s="3"/>
      <c r="H118" s="3" t="s">
        <v>287</v>
      </c>
      <c r="I118" s="3" t="s">
        <v>43</v>
      </c>
      <c r="J118" s="3" t="s">
        <v>118</v>
      </c>
    </row>
    <row r="119" spans="1:10" x14ac:dyDescent="0.3">
      <c r="A119" s="3">
        <v>59</v>
      </c>
      <c r="B119" s="3" t="s">
        <v>286</v>
      </c>
      <c r="C119" s="3" t="s">
        <v>114</v>
      </c>
      <c r="D119" s="3" t="s">
        <v>115</v>
      </c>
      <c r="E119" s="3" t="s">
        <v>30</v>
      </c>
      <c r="F119" s="3" t="s">
        <v>116</v>
      </c>
      <c r="G119" s="3"/>
      <c r="H119" s="3" t="s">
        <v>288</v>
      </c>
      <c r="I119" s="3" t="s">
        <v>43</v>
      </c>
      <c r="J119" s="3" t="s">
        <v>118</v>
      </c>
    </row>
    <row r="120" spans="1:10" x14ac:dyDescent="0.3">
      <c r="A120" s="3">
        <v>60</v>
      </c>
      <c r="B120" s="3" t="s">
        <v>289</v>
      </c>
      <c r="C120" s="3" t="s">
        <v>114</v>
      </c>
      <c r="D120" s="3" t="s">
        <v>115</v>
      </c>
      <c r="E120" s="3" t="s">
        <v>29</v>
      </c>
      <c r="F120" s="3" t="s">
        <v>116</v>
      </c>
      <c r="G120" s="3"/>
      <c r="H120" s="3" t="s">
        <v>290</v>
      </c>
      <c r="I120" s="3" t="s">
        <v>43</v>
      </c>
      <c r="J120" s="3" t="s">
        <v>118</v>
      </c>
    </row>
    <row r="121" spans="1:10" x14ac:dyDescent="0.3">
      <c r="A121" s="3">
        <v>60</v>
      </c>
      <c r="B121" s="3" t="s">
        <v>289</v>
      </c>
      <c r="C121" s="3" t="s">
        <v>114</v>
      </c>
      <c r="D121" s="3" t="s">
        <v>115</v>
      </c>
      <c r="E121" s="3" t="s">
        <v>30</v>
      </c>
      <c r="F121" s="3" t="s">
        <v>116</v>
      </c>
      <c r="G121" s="3"/>
      <c r="H121" s="3" t="s">
        <v>291</v>
      </c>
      <c r="I121" s="3" t="s">
        <v>43</v>
      </c>
      <c r="J121" s="3" t="s">
        <v>118</v>
      </c>
    </row>
    <row r="122" spans="1:10" x14ac:dyDescent="0.3">
      <c r="A122" s="3">
        <v>61</v>
      </c>
      <c r="B122" s="3" t="s">
        <v>292</v>
      </c>
      <c r="C122" s="3" t="s">
        <v>114</v>
      </c>
      <c r="D122" s="3" t="s">
        <v>115</v>
      </c>
      <c r="E122" s="3" t="s">
        <v>29</v>
      </c>
      <c r="F122" s="3" t="s">
        <v>116</v>
      </c>
      <c r="G122" s="3"/>
      <c r="H122" s="3" t="s">
        <v>293</v>
      </c>
      <c r="I122" s="3" t="s">
        <v>43</v>
      </c>
      <c r="J122" s="3" t="s">
        <v>118</v>
      </c>
    </row>
    <row r="123" spans="1:10" x14ac:dyDescent="0.3">
      <c r="A123" s="3">
        <v>61</v>
      </c>
      <c r="B123" s="3" t="s">
        <v>292</v>
      </c>
      <c r="C123" s="3" t="s">
        <v>114</v>
      </c>
      <c r="D123" s="3" t="s">
        <v>115</v>
      </c>
      <c r="E123" s="3" t="s">
        <v>30</v>
      </c>
      <c r="F123" s="3" t="s">
        <v>116</v>
      </c>
      <c r="G123" s="3"/>
      <c r="H123" s="3" t="s">
        <v>294</v>
      </c>
      <c r="I123" s="3" t="s">
        <v>43</v>
      </c>
      <c r="J123" s="3" t="s">
        <v>118</v>
      </c>
    </row>
    <row r="124" spans="1:10" x14ac:dyDescent="0.3">
      <c r="A124" s="3">
        <v>62</v>
      </c>
      <c r="B124" s="3" t="s">
        <v>295</v>
      </c>
      <c r="C124" s="3" t="s">
        <v>114</v>
      </c>
      <c r="D124" s="3" t="s">
        <v>115</v>
      </c>
      <c r="E124" s="3" t="s">
        <v>29</v>
      </c>
      <c r="F124" s="3" t="s">
        <v>116</v>
      </c>
      <c r="G124" s="3"/>
      <c r="H124" s="3" t="s">
        <v>296</v>
      </c>
      <c r="I124" s="3" t="s">
        <v>43</v>
      </c>
      <c r="J124" s="3" t="s">
        <v>118</v>
      </c>
    </row>
    <row r="125" spans="1:10" x14ac:dyDescent="0.3">
      <c r="A125" s="3">
        <v>62</v>
      </c>
      <c r="B125" s="3" t="s">
        <v>295</v>
      </c>
      <c r="C125" s="3" t="s">
        <v>114</v>
      </c>
      <c r="D125" s="3" t="s">
        <v>115</v>
      </c>
      <c r="E125" s="3" t="s">
        <v>30</v>
      </c>
      <c r="F125" s="3" t="s">
        <v>116</v>
      </c>
      <c r="G125" s="3"/>
      <c r="H125" s="3" t="s">
        <v>297</v>
      </c>
      <c r="I125" s="3" t="s">
        <v>43</v>
      </c>
      <c r="J125" s="3" t="s">
        <v>118</v>
      </c>
    </row>
    <row r="126" spans="1:10" x14ac:dyDescent="0.3">
      <c r="A126" s="3">
        <v>63</v>
      </c>
      <c r="B126" s="3" t="s">
        <v>298</v>
      </c>
      <c r="C126" s="3" t="s">
        <v>114</v>
      </c>
      <c r="D126" s="3" t="s">
        <v>115</v>
      </c>
      <c r="E126" s="3" t="s">
        <v>29</v>
      </c>
      <c r="F126" s="3" t="s">
        <v>116</v>
      </c>
      <c r="G126" s="3"/>
      <c r="H126" s="3" t="s">
        <v>299</v>
      </c>
      <c r="I126" s="3" t="s">
        <v>43</v>
      </c>
      <c r="J126" s="3" t="s">
        <v>118</v>
      </c>
    </row>
    <row r="127" spans="1:10" x14ac:dyDescent="0.3">
      <c r="A127" s="3">
        <v>63</v>
      </c>
      <c r="B127" s="3" t="s">
        <v>298</v>
      </c>
      <c r="C127" s="3" t="s">
        <v>114</v>
      </c>
      <c r="D127" s="3" t="s">
        <v>115</v>
      </c>
      <c r="E127" s="3" t="s">
        <v>30</v>
      </c>
      <c r="F127" s="3" t="s">
        <v>116</v>
      </c>
      <c r="G127" s="3"/>
      <c r="H127" s="3" t="s">
        <v>300</v>
      </c>
      <c r="I127" s="3" t="s">
        <v>43</v>
      </c>
      <c r="J127" s="3" t="s">
        <v>118</v>
      </c>
    </row>
    <row r="128" spans="1:10" x14ac:dyDescent="0.3">
      <c r="A128" s="3">
        <v>64</v>
      </c>
      <c r="B128" s="3" t="s">
        <v>301</v>
      </c>
      <c r="C128" s="3" t="s">
        <v>114</v>
      </c>
      <c r="D128" s="3" t="s">
        <v>115</v>
      </c>
      <c r="E128" s="3" t="s">
        <v>29</v>
      </c>
      <c r="F128" s="3" t="s">
        <v>116</v>
      </c>
      <c r="G128" s="3"/>
      <c r="H128" s="3" t="s">
        <v>302</v>
      </c>
      <c r="I128" s="3" t="s">
        <v>43</v>
      </c>
      <c r="J128" s="3" t="s">
        <v>118</v>
      </c>
    </row>
    <row r="129" spans="1:10" x14ac:dyDescent="0.3">
      <c r="A129" s="3">
        <v>64</v>
      </c>
      <c r="B129" s="3" t="s">
        <v>301</v>
      </c>
      <c r="C129" s="3" t="s">
        <v>114</v>
      </c>
      <c r="D129" s="3" t="s">
        <v>115</v>
      </c>
      <c r="E129" s="3" t="s">
        <v>30</v>
      </c>
      <c r="F129" s="3" t="s">
        <v>116</v>
      </c>
      <c r="G129" s="3"/>
      <c r="H129" s="3" t="s">
        <v>303</v>
      </c>
      <c r="I129" s="3" t="s">
        <v>43</v>
      </c>
      <c r="J129" s="3" t="s">
        <v>118</v>
      </c>
    </row>
    <row r="130" spans="1:10" x14ac:dyDescent="0.3">
      <c r="A130" s="3">
        <v>65</v>
      </c>
      <c r="B130" s="3" t="s">
        <v>304</v>
      </c>
      <c r="C130" s="3" t="s">
        <v>114</v>
      </c>
      <c r="D130" s="3" t="s">
        <v>115</v>
      </c>
      <c r="E130" s="3" t="s">
        <v>29</v>
      </c>
      <c r="F130" s="3" t="s">
        <v>116</v>
      </c>
      <c r="G130" s="3"/>
      <c r="H130" s="3" t="s">
        <v>305</v>
      </c>
      <c r="I130" s="3" t="s">
        <v>43</v>
      </c>
      <c r="J130" s="3" t="s">
        <v>118</v>
      </c>
    </row>
    <row r="131" spans="1:10" x14ac:dyDescent="0.3">
      <c r="A131" s="3">
        <v>65</v>
      </c>
      <c r="B131" s="3" t="s">
        <v>304</v>
      </c>
      <c r="C131" s="3" t="s">
        <v>114</v>
      </c>
      <c r="D131" s="3" t="s">
        <v>115</v>
      </c>
      <c r="E131" s="3" t="s">
        <v>30</v>
      </c>
      <c r="F131" s="3" t="s">
        <v>116</v>
      </c>
      <c r="G131" s="3"/>
      <c r="H131" s="3" t="s">
        <v>306</v>
      </c>
      <c r="I131" s="3" t="s">
        <v>43</v>
      </c>
      <c r="J131" s="3" t="s">
        <v>118</v>
      </c>
    </row>
    <row r="132" spans="1:10" x14ac:dyDescent="0.3">
      <c r="A132" s="3">
        <v>66</v>
      </c>
      <c r="B132" s="3" t="s">
        <v>307</v>
      </c>
      <c r="C132" s="3" t="s">
        <v>60</v>
      </c>
      <c r="D132" s="3" t="s">
        <v>160</v>
      </c>
      <c r="E132" s="3" t="s">
        <v>29</v>
      </c>
      <c r="F132" s="3" t="s">
        <v>116</v>
      </c>
      <c r="G132" s="3"/>
      <c r="H132" s="3" t="s">
        <v>308</v>
      </c>
      <c r="I132" s="3" t="s">
        <v>43</v>
      </c>
      <c r="J132" s="3" t="s">
        <v>118</v>
      </c>
    </row>
    <row r="133" spans="1:10" x14ac:dyDescent="0.3">
      <c r="A133" s="3">
        <v>66</v>
      </c>
      <c r="B133" s="3" t="s">
        <v>307</v>
      </c>
      <c r="C133" s="3" t="s">
        <v>60</v>
      </c>
      <c r="D133" s="3" t="s">
        <v>160</v>
      </c>
      <c r="E133" s="3" t="s">
        <v>30</v>
      </c>
      <c r="F133" s="3" t="s">
        <v>116</v>
      </c>
      <c r="G133" s="3"/>
      <c r="H133" s="3" t="s">
        <v>309</v>
      </c>
      <c r="I133" s="3" t="s">
        <v>43</v>
      </c>
      <c r="J133" s="3" t="s">
        <v>118</v>
      </c>
    </row>
    <row r="134" spans="1:10" x14ac:dyDescent="0.3">
      <c r="A134" s="3">
        <v>67</v>
      </c>
      <c r="B134" s="3" t="s">
        <v>310</v>
      </c>
      <c r="C134" s="3" t="s">
        <v>60</v>
      </c>
      <c r="D134" s="3" t="s">
        <v>160</v>
      </c>
      <c r="E134" s="3" t="s">
        <v>29</v>
      </c>
      <c r="F134" s="3" t="s">
        <v>116</v>
      </c>
      <c r="G134" s="3"/>
      <c r="H134" s="3" t="s">
        <v>311</v>
      </c>
      <c r="I134" s="3" t="s">
        <v>43</v>
      </c>
      <c r="J134" s="3" t="s">
        <v>118</v>
      </c>
    </row>
    <row r="135" spans="1:10" x14ac:dyDescent="0.3">
      <c r="A135" s="3">
        <v>67</v>
      </c>
      <c r="B135" s="3" t="s">
        <v>310</v>
      </c>
      <c r="C135" s="3" t="s">
        <v>60</v>
      </c>
      <c r="D135" s="3" t="s">
        <v>160</v>
      </c>
      <c r="E135" s="3" t="s">
        <v>30</v>
      </c>
      <c r="F135" s="3" t="s">
        <v>116</v>
      </c>
      <c r="G135" s="3"/>
      <c r="H135" s="3" t="s">
        <v>312</v>
      </c>
      <c r="I135" s="3" t="s">
        <v>43</v>
      </c>
      <c r="J135" s="3" t="s">
        <v>118</v>
      </c>
    </row>
    <row r="136" spans="1:10" x14ac:dyDescent="0.3">
      <c r="A136" s="3">
        <v>68</v>
      </c>
      <c r="B136" s="3" t="s">
        <v>313</v>
      </c>
      <c r="C136" s="3" t="s">
        <v>60</v>
      </c>
      <c r="D136" s="3" t="s">
        <v>160</v>
      </c>
      <c r="E136" s="3" t="s">
        <v>29</v>
      </c>
      <c r="F136" s="3" t="s">
        <v>116</v>
      </c>
      <c r="G136" s="3"/>
      <c r="H136" s="3" t="s">
        <v>314</v>
      </c>
      <c r="I136" s="3" t="s">
        <v>43</v>
      </c>
      <c r="J136" s="3" t="s">
        <v>118</v>
      </c>
    </row>
    <row r="137" spans="1:10" x14ac:dyDescent="0.3">
      <c r="A137" s="3">
        <v>68</v>
      </c>
      <c r="B137" s="3" t="s">
        <v>313</v>
      </c>
      <c r="C137" s="3" t="s">
        <v>60</v>
      </c>
      <c r="D137" s="3" t="s">
        <v>160</v>
      </c>
      <c r="E137" s="3" t="s">
        <v>30</v>
      </c>
      <c r="F137" s="3" t="s">
        <v>116</v>
      </c>
      <c r="G137" s="3"/>
      <c r="H137" s="3" t="s">
        <v>315</v>
      </c>
      <c r="I137" s="3" t="s">
        <v>43</v>
      </c>
      <c r="J137" s="3" t="s">
        <v>118</v>
      </c>
    </row>
    <row r="138" spans="1:10" x14ac:dyDescent="0.3">
      <c r="A138" s="3">
        <v>69</v>
      </c>
      <c r="B138" s="3" t="s">
        <v>316</v>
      </c>
      <c r="C138" s="3" t="s">
        <v>60</v>
      </c>
      <c r="D138" s="3" t="s">
        <v>160</v>
      </c>
      <c r="E138" s="3" t="s">
        <v>29</v>
      </c>
      <c r="F138" s="3" t="s">
        <v>116</v>
      </c>
      <c r="G138" s="3"/>
      <c r="H138" s="3" t="s">
        <v>317</v>
      </c>
      <c r="I138" s="3" t="s">
        <v>43</v>
      </c>
      <c r="J138" s="3" t="s">
        <v>118</v>
      </c>
    </row>
    <row r="139" spans="1:10" x14ac:dyDescent="0.3">
      <c r="A139" s="3">
        <v>69</v>
      </c>
      <c r="B139" s="3" t="s">
        <v>316</v>
      </c>
      <c r="C139" s="3" t="s">
        <v>60</v>
      </c>
      <c r="D139" s="3" t="s">
        <v>160</v>
      </c>
      <c r="E139" s="3" t="s">
        <v>30</v>
      </c>
      <c r="F139" s="3" t="s">
        <v>116</v>
      </c>
      <c r="G139" s="3"/>
      <c r="H139" s="3" t="s">
        <v>318</v>
      </c>
      <c r="I139" s="3" t="s">
        <v>43</v>
      </c>
      <c r="J139" s="3" t="s">
        <v>118</v>
      </c>
    </row>
    <row r="140" spans="1:10" x14ac:dyDescent="0.3">
      <c r="A140" s="3">
        <v>70</v>
      </c>
      <c r="B140" s="3" t="s">
        <v>319</v>
      </c>
      <c r="C140" s="3" t="s">
        <v>60</v>
      </c>
      <c r="D140" s="3" t="s">
        <v>160</v>
      </c>
      <c r="E140" s="3" t="s">
        <v>29</v>
      </c>
      <c r="F140" s="3" t="s">
        <v>116</v>
      </c>
      <c r="G140" s="3"/>
      <c r="H140" s="3" t="s">
        <v>320</v>
      </c>
      <c r="I140" s="3" t="s">
        <v>43</v>
      </c>
      <c r="J140" s="3" t="s">
        <v>118</v>
      </c>
    </row>
    <row r="141" spans="1:10" x14ac:dyDescent="0.3">
      <c r="A141" s="3">
        <v>70</v>
      </c>
      <c r="B141" s="3" t="s">
        <v>319</v>
      </c>
      <c r="C141" s="3" t="s">
        <v>60</v>
      </c>
      <c r="D141" s="3" t="s">
        <v>160</v>
      </c>
      <c r="E141" s="3" t="s">
        <v>30</v>
      </c>
      <c r="F141" s="3" t="s">
        <v>116</v>
      </c>
      <c r="G141" s="3"/>
      <c r="H141" s="3" t="s">
        <v>321</v>
      </c>
      <c r="I141" s="3" t="s">
        <v>43</v>
      </c>
      <c r="J141" s="3" t="s">
        <v>118</v>
      </c>
    </row>
    <row r="142" spans="1:10" x14ac:dyDescent="0.3">
      <c r="A142" s="3">
        <v>71</v>
      </c>
      <c r="B142" s="3" t="s">
        <v>322</v>
      </c>
      <c r="C142" s="3" t="s">
        <v>60</v>
      </c>
      <c r="D142" s="3" t="s">
        <v>160</v>
      </c>
      <c r="E142" s="3" t="s">
        <v>29</v>
      </c>
      <c r="F142" s="3" t="s">
        <v>116</v>
      </c>
      <c r="G142" s="3"/>
      <c r="H142" s="3" t="s">
        <v>323</v>
      </c>
      <c r="I142" s="3" t="s">
        <v>43</v>
      </c>
      <c r="J142" s="3" t="s">
        <v>118</v>
      </c>
    </row>
    <row r="143" spans="1:10" x14ac:dyDescent="0.3">
      <c r="A143" s="3">
        <v>71</v>
      </c>
      <c r="B143" s="3" t="s">
        <v>322</v>
      </c>
      <c r="C143" s="3" t="s">
        <v>60</v>
      </c>
      <c r="D143" s="3" t="s">
        <v>160</v>
      </c>
      <c r="E143" s="3" t="s">
        <v>30</v>
      </c>
      <c r="F143" s="3" t="s">
        <v>116</v>
      </c>
      <c r="G143" s="3"/>
      <c r="H143" s="3" t="s">
        <v>324</v>
      </c>
      <c r="I143" s="3" t="s">
        <v>43</v>
      </c>
      <c r="J143" s="3" t="s">
        <v>118</v>
      </c>
    </row>
    <row r="144" spans="1:10" x14ac:dyDescent="0.3">
      <c r="A144" s="3">
        <v>72</v>
      </c>
      <c r="B144" s="3" t="s">
        <v>325</v>
      </c>
      <c r="C144" s="3" t="s">
        <v>60</v>
      </c>
      <c r="D144" s="3" t="s">
        <v>160</v>
      </c>
      <c r="E144" s="3" t="s">
        <v>29</v>
      </c>
      <c r="F144" s="3" t="s">
        <v>116</v>
      </c>
      <c r="G144" s="3"/>
      <c r="H144" s="3" t="s">
        <v>326</v>
      </c>
      <c r="I144" s="3" t="s">
        <v>43</v>
      </c>
      <c r="J144" s="3" t="s">
        <v>118</v>
      </c>
    </row>
    <row r="145" spans="1:10" x14ac:dyDescent="0.3">
      <c r="A145" s="3">
        <v>72</v>
      </c>
      <c r="B145" s="3" t="s">
        <v>325</v>
      </c>
      <c r="C145" s="3" t="s">
        <v>60</v>
      </c>
      <c r="D145" s="3" t="s">
        <v>160</v>
      </c>
      <c r="E145" s="3" t="s">
        <v>30</v>
      </c>
      <c r="F145" s="3" t="s">
        <v>116</v>
      </c>
      <c r="G145" s="3"/>
      <c r="H145" s="3" t="s">
        <v>327</v>
      </c>
      <c r="I145" s="3" t="s">
        <v>43</v>
      </c>
      <c r="J145" s="3" t="s">
        <v>118</v>
      </c>
    </row>
    <row r="146" spans="1:10" x14ac:dyDescent="0.3">
      <c r="A146" s="3">
        <v>73</v>
      </c>
      <c r="B146" s="3" t="s">
        <v>328</v>
      </c>
      <c r="C146" s="3" t="s">
        <v>60</v>
      </c>
      <c r="D146" s="3" t="s">
        <v>160</v>
      </c>
      <c r="E146" s="3" t="s">
        <v>29</v>
      </c>
      <c r="F146" s="3" t="s">
        <v>116</v>
      </c>
      <c r="G146" s="3"/>
      <c r="H146" s="3" t="s">
        <v>329</v>
      </c>
      <c r="I146" s="3" t="s">
        <v>43</v>
      </c>
      <c r="J146" s="3" t="s">
        <v>118</v>
      </c>
    </row>
    <row r="147" spans="1:10" x14ac:dyDescent="0.3">
      <c r="A147" s="3">
        <v>73</v>
      </c>
      <c r="B147" s="3" t="s">
        <v>328</v>
      </c>
      <c r="C147" s="3" t="s">
        <v>60</v>
      </c>
      <c r="D147" s="3" t="s">
        <v>160</v>
      </c>
      <c r="E147" s="3" t="s">
        <v>30</v>
      </c>
      <c r="F147" s="3" t="s">
        <v>116</v>
      </c>
      <c r="G147" s="3"/>
      <c r="H147" s="3" t="s">
        <v>330</v>
      </c>
      <c r="I147" s="3" t="s">
        <v>43</v>
      </c>
      <c r="J147" s="3" t="s">
        <v>118</v>
      </c>
    </row>
    <row r="148" spans="1:10" x14ac:dyDescent="0.3">
      <c r="A148" s="3">
        <v>74</v>
      </c>
      <c r="B148" s="3" t="s">
        <v>331</v>
      </c>
      <c r="C148" s="3" t="s">
        <v>60</v>
      </c>
      <c r="D148" s="3" t="s">
        <v>160</v>
      </c>
      <c r="E148" s="3" t="s">
        <v>29</v>
      </c>
      <c r="F148" s="3" t="s">
        <v>116</v>
      </c>
      <c r="G148" s="3"/>
      <c r="H148" s="3" t="s">
        <v>332</v>
      </c>
      <c r="I148" s="3" t="s">
        <v>43</v>
      </c>
      <c r="J148" s="3" t="s">
        <v>118</v>
      </c>
    </row>
    <row r="149" spans="1:10" x14ac:dyDescent="0.3">
      <c r="A149" s="3">
        <v>74</v>
      </c>
      <c r="B149" s="3" t="s">
        <v>331</v>
      </c>
      <c r="C149" s="3" t="s">
        <v>60</v>
      </c>
      <c r="D149" s="3" t="s">
        <v>160</v>
      </c>
      <c r="E149" s="3" t="s">
        <v>30</v>
      </c>
      <c r="F149" s="3" t="s">
        <v>116</v>
      </c>
      <c r="G149" s="3"/>
      <c r="H149" s="3" t="s">
        <v>333</v>
      </c>
      <c r="I149" s="3" t="s">
        <v>43</v>
      </c>
      <c r="J149" s="3" t="s">
        <v>118</v>
      </c>
    </row>
    <row r="150" spans="1:10" x14ac:dyDescent="0.3">
      <c r="A150" s="3">
        <v>75</v>
      </c>
      <c r="B150" s="3" t="s">
        <v>334</v>
      </c>
      <c r="C150" s="3" t="s">
        <v>60</v>
      </c>
      <c r="D150" s="3" t="s">
        <v>160</v>
      </c>
      <c r="E150" s="3" t="s">
        <v>29</v>
      </c>
      <c r="F150" s="3" t="s">
        <v>116</v>
      </c>
      <c r="G150" s="3"/>
      <c r="H150" s="3" t="s">
        <v>335</v>
      </c>
      <c r="I150" s="3" t="s">
        <v>43</v>
      </c>
      <c r="J150" s="3" t="s">
        <v>118</v>
      </c>
    </row>
    <row r="151" spans="1:10" x14ac:dyDescent="0.3">
      <c r="A151" s="3">
        <v>75</v>
      </c>
      <c r="B151" s="3" t="s">
        <v>334</v>
      </c>
      <c r="C151" s="3" t="s">
        <v>60</v>
      </c>
      <c r="D151" s="3" t="s">
        <v>160</v>
      </c>
      <c r="E151" s="3" t="s">
        <v>30</v>
      </c>
      <c r="F151" s="3" t="s">
        <v>116</v>
      </c>
      <c r="G151" s="3"/>
      <c r="H151" s="3" t="s">
        <v>336</v>
      </c>
      <c r="I151" s="3" t="s">
        <v>43</v>
      </c>
      <c r="J151" s="3" t="s">
        <v>118</v>
      </c>
    </row>
    <row r="152" spans="1:10" x14ac:dyDescent="0.3">
      <c r="A152" s="3">
        <v>76</v>
      </c>
      <c r="B152" s="3" t="s">
        <v>337</v>
      </c>
      <c r="C152" s="3" t="s">
        <v>60</v>
      </c>
      <c r="D152" s="3" t="s">
        <v>160</v>
      </c>
      <c r="E152" s="3" t="s">
        <v>29</v>
      </c>
      <c r="F152" s="3" t="s">
        <v>116</v>
      </c>
      <c r="G152" s="3"/>
      <c r="H152" s="3" t="s">
        <v>338</v>
      </c>
      <c r="I152" s="3" t="s">
        <v>43</v>
      </c>
      <c r="J152" s="3" t="s">
        <v>118</v>
      </c>
    </row>
    <row r="153" spans="1:10" x14ac:dyDescent="0.3">
      <c r="A153" s="3">
        <v>76</v>
      </c>
      <c r="B153" s="3" t="s">
        <v>337</v>
      </c>
      <c r="C153" s="3" t="s">
        <v>60</v>
      </c>
      <c r="D153" s="3" t="s">
        <v>160</v>
      </c>
      <c r="E153" s="3" t="s">
        <v>30</v>
      </c>
      <c r="F153" s="3" t="s">
        <v>116</v>
      </c>
      <c r="G153" s="3"/>
      <c r="H153" s="3" t="s">
        <v>339</v>
      </c>
      <c r="I153" s="3" t="s">
        <v>43</v>
      </c>
      <c r="J153" s="3" t="s">
        <v>118</v>
      </c>
    </row>
    <row r="154" spans="1:10" x14ac:dyDescent="0.3">
      <c r="A154" s="3">
        <v>77</v>
      </c>
      <c r="B154" s="3" t="s">
        <v>340</v>
      </c>
      <c r="C154" s="3" t="s">
        <v>60</v>
      </c>
      <c r="D154" s="3" t="s">
        <v>160</v>
      </c>
      <c r="E154" s="3" t="s">
        <v>29</v>
      </c>
      <c r="F154" s="3" t="s">
        <v>116</v>
      </c>
      <c r="G154" s="3"/>
      <c r="H154" s="3" t="s">
        <v>341</v>
      </c>
      <c r="I154" s="3" t="s">
        <v>43</v>
      </c>
      <c r="J154" s="3" t="s">
        <v>118</v>
      </c>
    </row>
    <row r="155" spans="1:10" x14ac:dyDescent="0.3">
      <c r="A155" s="3">
        <v>77</v>
      </c>
      <c r="B155" s="3" t="s">
        <v>340</v>
      </c>
      <c r="C155" s="3" t="s">
        <v>60</v>
      </c>
      <c r="D155" s="3" t="s">
        <v>160</v>
      </c>
      <c r="E155" s="3" t="s">
        <v>30</v>
      </c>
      <c r="F155" s="3" t="s">
        <v>116</v>
      </c>
      <c r="G155" s="3"/>
      <c r="H155" s="3" t="s">
        <v>342</v>
      </c>
      <c r="I155" s="3" t="s">
        <v>43</v>
      </c>
      <c r="J155" s="3" t="s">
        <v>118</v>
      </c>
    </row>
    <row r="156" spans="1:10" x14ac:dyDescent="0.3">
      <c r="A156" s="3">
        <v>78</v>
      </c>
      <c r="B156" s="3" t="s">
        <v>343</v>
      </c>
      <c r="C156" s="3" t="s">
        <v>60</v>
      </c>
      <c r="D156" s="3" t="s">
        <v>160</v>
      </c>
      <c r="E156" s="3" t="s">
        <v>29</v>
      </c>
      <c r="F156" s="3" t="s">
        <v>116</v>
      </c>
      <c r="G156" s="3"/>
      <c r="H156" s="3" t="s">
        <v>344</v>
      </c>
      <c r="I156" s="3" t="s">
        <v>43</v>
      </c>
      <c r="J156" s="3" t="s">
        <v>118</v>
      </c>
    </row>
    <row r="157" spans="1:10" x14ac:dyDescent="0.3">
      <c r="A157" s="3">
        <v>78</v>
      </c>
      <c r="B157" s="3" t="s">
        <v>343</v>
      </c>
      <c r="C157" s="3" t="s">
        <v>60</v>
      </c>
      <c r="D157" s="3" t="s">
        <v>160</v>
      </c>
      <c r="E157" s="3" t="s">
        <v>30</v>
      </c>
      <c r="F157" s="3" t="s">
        <v>116</v>
      </c>
      <c r="G157" s="3"/>
      <c r="H157" s="3" t="s">
        <v>345</v>
      </c>
      <c r="I157" s="3" t="s">
        <v>43</v>
      </c>
      <c r="J157" s="3" t="s">
        <v>118</v>
      </c>
    </row>
    <row r="158" spans="1:10" x14ac:dyDescent="0.3">
      <c r="A158" s="3">
        <v>79</v>
      </c>
      <c r="B158" s="3" t="s">
        <v>346</v>
      </c>
      <c r="C158" s="3" t="s">
        <v>60</v>
      </c>
      <c r="D158" s="3" t="s">
        <v>160</v>
      </c>
      <c r="E158" s="3" t="s">
        <v>29</v>
      </c>
      <c r="F158" s="3" t="s">
        <v>116</v>
      </c>
      <c r="G158" s="3"/>
      <c r="H158" s="3" t="s">
        <v>347</v>
      </c>
      <c r="I158" s="3" t="s">
        <v>43</v>
      </c>
      <c r="J158" s="3" t="s">
        <v>118</v>
      </c>
    </row>
    <row r="159" spans="1:10" x14ac:dyDescent="0.3">
      <c r="A159" s="3">
        <v>79</v>
      </c>
      <c r="B159" s="3" t="s">
        <v>346</v>
      </c>
      <c r="C159" s="3" t="s">
        <v>60</v>
      </c>
      <c r="D159" s="3" t="s">
        <v>160</v>
      </c>
      <c r="E159" s="3" t="s">
        <v>30</v>
      </c>
      <c r="F159" s="3" t="s">
        <v>116</v>
      </c>
      <c r="G159" s="3"/>
      <c r="H159" s="3" t="s">
        <v>348</v>
      </c>
      <c r="I159" s="3" t="s">
        <v>43</v>
      </c>
      <c r="J159" s="3" t="s">
        <v>118</v>
      </c>
    </row>
    <row r="160" spans="1:10" x14ac:dyDescent="0.3">
      <c r="A160" s="3">
        <v>80</v>
      </c>
      <c r="B160" s="3" t="s">
        <v>349</v>
      </c>
      <c r="C160" s="3" t="s">
        <v>60</v>
      </c>
      <c r="D160" s="3" t="s">
        <v>160</v>
      </c>
      <c r="E160" s="3" t="s">
        <v>29</v>
      </c>
      <c r="F160" s="3" t="s">
        <v>116</v>
      </c>
      <c r="G160" s="3"/>
      <c r="H160" s="3" t="s">
        <v>350</v>
      </c>
      <c r="I160" s="3" t="s">
        <v>43</v>
      </c>
      <c r="J160" s="3" t="s">
        <v>118</v>
      </c>
    </row>
    <row r="161" spans="1:10" x14ac:dyDescent="0.3">
      <c r="A161" s="3">
        <v>80</v>
      </c>
      <c r="B161" s="3" t="s">
        <v>349</v>
      </c>
      <c r="C161" s="3" t="s">
        <v>60</v>
      </c>
      <c r="D161" s="3" t="s">
        <v>160</v>
      </c>
      <c r="E161" s="3" t="s">
        <v>30</v>
      </c>
      <c r="F161" s="3" t="s">
        <v>116</v>
      </c>
      <c r="G161" s="3"/>
      <c r="H161" s="3" t="s">
        <v>351</v>
      </c>
      <c r="I161" s="3" t="s">
        <v>43</v>
      </c>
      <c r="J161" s="3" t="s">
        <v>118</v>
      </c>
    </row>
    <row r="162" spans="1:10" x14ac:dyDescent="0.3">
      <c r="A162" s="3">
        <v>81</v>
      </c>
      <c r="B162" s="3" t="s">
        <v>352</v>
      </c>
      <c r="C162" s="3" t="s">
        <v>60</v>
      </c>
      <c r="D162" s="3" t="s">
        <v>160</v>
      </c>
      <c r="E162" s="3" t="s">
        <v>29</v>
      </c>
      <c r="F162" s="3" t="s">
        <v>116</v>
      </c>
      <c r="G162" s="3"/>
      <c r="H162" s="3" t="s">
        <v>353</v>
      </c>
      <c r="I162" s="3" t="s">
        <v>43</v>
      </c>
      <c r="J162" s="3" t="s">
        <v>118</v>
      </c>
    </row>
    <row r="163" spans="1:10" x14ac:dyDescent="0.3">
      <c r="A163" s="3">
        <v>81</v>
      </c>
      <c r="B163" s="3" t="s">
        <v>352</v>
      </c>
      <c r="C163" s="3" t="s">
        <v>60</v>
      </c>
      <c r="D163" s="3" t="s">
        <v>160</v>
      </c>
      <c r="E163" s="3" t="s">
        <v>30</v>
      </c>
      <c r="F163" s="3" t="s">
        <v>116</v>
      </c>
      <c r="G163" s="3"/>
      <c r="H163" s="3" t="s">
        <v>354</v>
      </c>
      <c r="I163" s="3" t="s">
        <v>43</v>
      </c>
      <c r="J163" s="3" t="s">
        <v>118</v>
      </c>
    </row>
    <row r="164" spans="1:10" x14ac:dyDescent="0.3">
      <c r="A164" s="3">
        <v>82</v>
      </c>
      <c r="B164" s="3" t="s">
        <v>355</v>
      </c>
      <c r="C164" s="3" t="s">
        <v>84</v>
      </c>
      <c r="D164" s="3" t="s">
        <v>356</v>
      </c>
      <c r="E164" s="3" t="s">
        <v>29</v>
      </c>
      <c r="F164" s="3" t="s">
        <v>73</v>
      </c>
      <c r="G164" s="3"/>
      <c r="H164" s="3" t="s">
        <v>357</v>
      </c>
      <c r="I164" s="3" t="s">
        <v>45</v>
      </c>
      <c r="J164" s="3" t="s">
        <v>75</v>
      </c>
    </row>
    <row r="165" spans="1:10" x14ac:dyDescent="0.3">
      <c r="A165" s="3">
        <v>82</v>
      </c>
      <c r="B165" s="3" t="s">
        <v>355</v>
      </c>
      <c r="C165" s="3" t="s">
        <v>84</v>
      </c>
      <c r="D165" s="3" t="s">
        <v>356</v>
      </c>
      <c r="E165" s="3" t="s">
        <v>30</v>
      </c>
      <c r="F165" s="3" t="s">
        <v>73</v>
      </c>
      <c r="G165" s="3"/>
      <c r="H165" s="3" t="s">
        <v>358</v>
      </c>
      <c r="I165" s="3" t="s">
        <v>45</v>
      </c>
      <c r="J165" s="3" t="s">
        <v>75</v>
      </c>
    </row>
    <row r="166" spans="1:10" x14ac:dyDescent="0.3">
      <c r="A166" s="3">
        <v>83</v>
      </c>
      <c r="B166" s="3" t="s">
        <v>359</v>
      </c>
      <c r="C166" s="3" t="s">
        <v>360</v>
      </c>
      <c r="D166" s="3" t="s">
        <v>361</v>
      </c>
      <c r="E166" s="3" t="s">
        <v>29</v>
      </c>
      <c r="F166" s="3" t="s">
        <v>103</v>
      </c>
      <c r="G166" s="3"/>
      <c r="H166" s="3" t="s">
        <v>362</v>
      </c>
      <c r="I166" s="3" t="s">
        <v>45</v>
      </c>
      <c r="J166" s="3" t="s">
        <v>103</v>
      </c>
    </row>
    <row r="167" spans="1:10" x14ac:dyDescent="0.3">
      <c r="A167" s="3">
        <v>83</v>
      </c>
      <c r="B167" s="3" t="s">
        <v>359</v>
      </c>
      <c r="C167" s="3" t="s">
        <v>360</v>
      </c>
      <c r="D167" s="3" t="s">
        <v>361</v>
      </c>
      <c r="E167" s="3" t="s">
        <v>30</v>
      </c>
      <c r="F167" s="3" t="s">
        <v>103</v>
      </c>
      <c r="G167" s="3"/>
      <c r="H167" s="3" t="s">
        <v>363</v>
      </c>
      <c r="I167" s="3" t="s">
        <v>45</v>
      </c>
      <c r="J167" s="3" t="s">
        <v>103</v>
      </c>
    </row>
    <row r="168" spans="1:10" x14ac:dyDescent="0.3">
      <c r="A168" s="3">
        <v>84</v>
      </c>
      <c r="B168" s="3" t="s">
        <v>364</v>
      </c>
      <c r="C168" s="3" t="s">
        <v>365</v>
      </c>
      <c r="D168" s="3" t="s">
        <v>366</v>
      </c>
      <c r="E168" s="3" t="s">
        <v>29</v>
      </c>
      <c r="F168" s="3" t="s">
        <v>367</v>
      </c>
      <c r="G168" s="3"/>
      <c r="H168" s="3" t="s">
        <v>368</v>
      </c>
      <c r="I168" s="3" t="s">
        <v>43</v>
      </c>
      <c r="J168" s="3" t="s">
        <v>369</v>
      </c>
    </row>
    <row r="169" spans="1:10" x14ac:dyDescent="0.3">
      <c r="A169" s="3">
        <v>84</v>
      </c>
      <c r="B169" s="3" t="s">
        <v>364</v>
      </c>
      <c r="C169" s="3" t="s">
        <v>365</v>
      </c>
      <c r="D169" s="3" t="s">
        <v>366</v>
      </c>
      <c r="E169" s="3" t="s">
        <v>30</v>
      </c>
      <c r="F169" s="3" t="s">
        <v>367</v>
      </c>
      <c r="G169" s="3"/>
      <c r="H169" s="3" t="s">
        <v>370</v>
      </c>
      <c r="I169" s="3" t="s">
        <v>43</v>
      </c>
      <c r="J169" s="3" t="s">
        <v>369</v>
      </c>
    </row>
    <row r="170" spans="1:10" x14ac:dyDescent="0.3">
      <c r="A170" s="3">
        <v>85</v>
      </c>
      <c r="B170" s="3" t="s">
        <v>371</v>
      </c>
      <c r="C170" s="3" t="s">
        <v>114</v>
      </c>
      <c r="D170" s="3" t="s">
        <v>115</v>
      </c>
      <c r="E170" s="3" t="s">
        <v>29</v>
      </c>
      <c r="F170" s="3" t="s">
        <v>116</v>
      </c>
      <c r="G170" s="3"/>
      <c r="H170" s="3" t="s">
        <v>372</v>
      </c>
      <c r="I170" s="3" t="s">
        <v>43</v>
      </c>
      <c r="J170" s="3" t="s">
        <v>118</v>
      </c>
    </row>
    <row r="171" spans="1:10" x14ac:dyDescent="0.3">
      <c r="A171" s="3">
        <v>85</v>
      </c>
      <c r="B171" s="3" t="s">
        <v>371</v>
      </c>
      <c r="C171" s="3" t="s">
        <v>114</v>
      </c>
      <c r="D171" s="3" t="s">
        <v>115</v>
      </c>
      <c r="E171" s="3" t="s">
        <v>30</v>
      </c>
      <c r="F171" s="3" t="s">
        <v>116</v>
      </c>
      <c r="G171" s="3"/>
      <c r="H171" s="3" t="s">
        <v>373</v>
      </c>
      <c r="I171" s="3" t="s">
        <v>43</v>
      </c>
      <c r="J171" s="3" t="s">
        <v>118</v>
      </c>
    </row>
    <row r="172" spans="1:10" x14ac:dyDescent="0.3">
      <c r="A172" s="3">
        <v>86</v>
      </c>
      <c r="B172" s="3" t="s">
        <v>374</v>
      </c>
      <c r="C172" s="3" t="s">
        <v>114</v>
      </c>
      <c r="D172" s="3" t="s">
        <v>375</v>
      </c>
      <c r="E172" s="3" t="s">
        <v>29</v>
      </c>
      <c r="F172" s="3" t="s">
        <v>376</v>
      </c>
      <c r="G172" s="3"/>
      <c r="H172" s="3" t="s">
        <v>377</v>
      </c>
      <c r="I172" s="3" t="s">
        <v>43</v>
      </c>
      <c r="J172" s="3" t="s">
        <v>378</v>
      </c>
    </row>
    <row r="173" spans="1:10" x14ac:dyDescent="0.3">
      <c r="A173" s="3">
        <v>86</v>
      </c>
      <c r="B173" s="3" t="s">
        <v>374</v>
      </c>
      <c r="C173" s="3" t="s">
        <v>114</v>
      </c>
      <c r="D173" s="3" t="s">
        <v>375</v>
      </c>
      <c r="E173" s="3" t="s">
        <v>30</v>
      </c>
      <c r="F173" s="3" t="s">
        <v>376</v>
      </c>
      <c r="G173" s="3"/>
      <c r="H173" s="3" t="s">
        <v>379</v>
      </c>
      <c r="I173" s="3" t="s">
        <v>43</v>
      </c>
      <c r="J173" s="3" t="s">
        <v>378</v>
      </c>
    </row>
    <row r="174" spans="1:10" x14ac:dyDescent="0.3">
      <c r="A174" s="3">
        <v>87</v>
      </c>
      <c r="B174" s="3" t="s">
        <v>380</v>
      </c>
      <c r="C174" s="3" t="s">
        <v>114</v>
      </c>
      <c r="D174" s="3" t="s">
        <v>115</v>
      </c>
      <c r="E174" s="3" t="s">
        <v>29</v>
      </c>
      <c r="F174" s="3" t="s">
        <v>116</v>
      </c>
      <c r="G174" s="3"/>
      <c r="H174" s="3" t="s">
        <v>381</v>
      </c>
      <c r="I174" s="3" t="s">
        <v>43</v>
      </c>
      <c r="J174" s="3" t="s">
        <v>118</v>
      </c>
    </row>
    <row r="175" spans="1:10" x14ac:dyDescent="0.3">
      <c r="A175" s="3">
        <v>87</v>
      </c>
      <c r="B175" s="3" t="s">
        <v>380</v>
      </c>
      <c r="C175" s="3" t="s">
        <v>114</v>
      </c>
      <c r="D175" s="3" t="s">
        <v>115</v>
      </c>
      <c r="E175" s="3" t="s">
        <v>30</v>
      </c>
      <c r="F175" s="3" t="s">
        <v>116</v>
      </c>
      <c r="G175" s="3"/>
      <c r="H175" s="3" t="s">
        <v>382</v>
      </c>
      <c r="I175" s="3" t="s">
        <v>43</v>
      </c>
      <c r="J175" s="3" t="s">
        <v>118</v>
      </c>
    </row>
    <row r="176" spans="1:10" x14ac:dyDescent="0.3">
      <c r="A176" s="3">
        <v>88</v>
      </c>
      <c r="B176" s="3" t="s">
        <v>383</v>
      </c>
      <c r="C176" s="3" t="s">
        <v>196</v>
      </c>
      <c r="D176" s="3">
        <v>208</v>
      </c>
      <c r="E176" s="3" t="s">
        <v>29</v>
      </c>
      <c r="F176" s="3" t="s">
        <v>116</v>
      </c>
      <c r="G176" s="3"/>
      <c r="H176" s="3" t="s">
        <v>384</v>
      </c>
      <c r="I176" s="3" t="s">
        <v>43</v>
      </c>
      <c r="J176" s="3" t="s">
        <v>118</v>
      </c>
    </row>
    <row r="177" spans="1:10" x14ac:dyDescent="0.3">
      <c r="A177" s="3">
        <v>88</v>
      </c>
      <c r="B177" s="3" t="s">
        <v>383</v>
      </c>
      <c r="C177" s="3" t="s">
        <v>196</v>
      </c>
      <c r="D177" s="3">
        <v>208</v>
      </c>
      <c r="E177" s="3" t="s">
        <v>30</v>
      </c>
      <c r="F177" s="3" t="s">
        <v>116</v>
      </c>
      <c r="G177" s="3"/>
      <c r="H177" s="3" t="s">
        <v>385</v>
      </c>
      <c r="I177" s="3" t="s">
        <v>43</v>
      </c>
      <c r="J177" s="3" t="s">
        <v>118</v>
      </c>
    </row>
    <row r="178" spans="1:10" x14ac:dyDescent="0.3">
      <c r="A178" s="3">
        <v>89</v>
      </c>
      <c r="B178" s="3" t="s">
        <v>386</v>
      </c>
      <c r="C178" s="3" t="s">
        <v>196</v>
      </c>
      <c r="D178" s="3" t="s">
        <v>387</v>
      </c>
      <c r="E178" s="3" t="s">
        <v>29</v>
      </c>
      <c r="F178" s="3" t="s">
        <v>388</v>
      </c>
      <c r="G178" s="3"/>
      <c r="H178" s="3" t="s">
        <v>389</v>
      </c>
      <c r="I178" s="3" t="s">
        <v>45</v>
      </c>
      <c r="J178" s="3" t="s">
        <v>390</v>
      </c>
    </row>
    <row r="179" spans="1:10" x14ac:dyDescent="0.3">
      <c r="A179" s="3">
        <v>89</v>
      </c>
      <c r="B179" s="3" t="s">
        <v>386</v>
      </c>
      <c r="C179" s="3" t="s">
        <v>196</v>
      </c>
      <c r="D179" s="3" t="s">
        <v>387</v>
      </c>
      <c r="E179" s="3" t="s">
        <v>30</v>
      </c>
      <c r="F179" s="3" t="s">
        <v>388</v>
      </c>
      <c r="G179" s="3"/>
      <c r="H179" s="3" t="s">
        <v>391</v>
      </c>
      <c r="I179" s="3" t="s">
        <v>45</v>
      </c>
      <c r="J179" s="3" t="s">
        <v>390</v>
      </c>
    </row>
    <row r="180" spans="1:10" x14ac:dyDescent="0.3">
      <c r="A180" s="3">
        <v>90</v>
      </c>
      <c r="B180" s="3" t="s">
        <v>392</v>
      </c>
      <c r="C180" s="3" t="s">
        <v>196</v>
      </c>
      <c r="D180" s="3" t="s">
        <v>387</v>
      </c>
      <c r="E180" s="3" t="s">
        <v>29</v>
      </c>
      <c r="F180" s="3" t="s">
        <v>388</v>
      </c>
      <c r="G180" s="3"/>
      <c r="H180" s="3" t="s">
        <v>393</v>
      </c>
      <c r="I180" s="3" t="s">
        <v>45</v>
      </c>
      <c r="J180" s="3" t="s">
        <v>390</v>
      </c>
    </row>
    <row r="181" spans="1:10" x14ac:dyDescent="0.3">
      <c r="A181" s="3">
        <v>90</v>
      </c>
      <c r="B181" s="3" t="s">
        <v>392</v>
      </c>
      <c r="C181" s="3" t="s">
        <v>196</v>
      </c>
      <c r="D181" s="3" t="s">
        <v>387</v>
      </c>
      <c r="E181" s="3" t="s">
        <v>30</v>
      </c>
      <c r="F181" s="3" t="s">
        <v>388</v>
      </c>
      <c r="G181" s="3"/>
      <c r="H181" s="3" t="s">
        <v>394</v>
      </c>
      <c r="I181" s="3" t="s">
        <v>45</v>
      </c>
      <c r="J181" s="3" t="s">
        <v>390</v>
      </c>
    </row>
    <row r="182" spans="1:10" x14ac:dyDescent="0.3">
      <c r="A182" s="3">
        <v>91</v>
      </c>
      <c r="B182" s="3" t="s">
        <v>395</v>
      </c>
      <c r="C182" s="3" t="s">
        <v>196</v>
      </c>
      <c r="D182" s="3" t="s">
        <v>387</v>
      </c>
      <c r="E182" s="3" t="s">
        <v>29</v>
      </c>
      <c r="F182" s="3" t="s">
        <v>388</v>
      </c>
      <c r="G182" s="3"/>
      <c r="H182" s="3" t="s">
        <v>396</v>
      </c>
      <c r="I182" s="3" t="s">
        <v>45</v>
      </c>
      <c r="J182" s="3" t="s">
        <v>390</v>
      </c>
    </row>
    <row r="183" spans="1:10" x14ac:dyDescent="0.3">
      <c r="A183" s="3">
        <v>91</v>
      </c>
      <c r="B183" s="3" t="s">
        <v>395</v>
      </c>
      <c r="C183" s="3" t="s">
        <v>196</v>
      </c>
      <c r="D183" s="3" t="s">
        <v>387</v>
      </c>
      <c r="E183" s="3" t="s">
        <v>30</v>
      </c>
      <c r="F183" s="3" t="s">
        <v>388</v>
      </c>
      <c r="G183" s="3"/>
      <c r="H183" s="3" t="s">
        <v>397</v>
      </c>
      <c r="I183" s="3" t="s">
        <v>45</v>
      </c>
      <c r="J183" s="3" t="s">
        <v>390</v>
      </c>
    </row>
    <row r="184" spans="1:10" x14ac:dyDescent="0.3">
      <c r="A184" s="3">
        <v>92</v>
      </c>
      <c r="B184" s="3" t="s">
        <v>398</v>
      </c>
      <c r="C184" s="3" t="s">
        <v>114</v>
      </c>
      <c r="D184" s="3" t="s">
        <v>115</v>
      </c>
      <c r="E184" s="3" t="s">
        <v>29</v>
      </c>
      <c r="F184" s="3" t="s">
        <v>116</v>
      </c>
      <c r="G184" s="3"/>
      <c r="H184" s="3" t="s">
        <v>399</v>
      </c>
      <c r="I184" s="3" t="s">
        <v>43</v>
      </c>
      <c r="J184" s="3" t="s">
        <v>118</v>
      </c>
    </row>
    <row r="185" spans="1:10" x14ac:dyDescent="0.3">
      <c r="A185" s="3">
        <v>92</v>
      </c>
      <c r="B185" s="3" t="s">
        <v>398</v>
      </c>
      <c r="C185" s="3" t="s">
        <v>114</v>
      </c>
      <c r="D185" s="3" t="s">
        <v>115</v>
      </c>
      <c r="E185" s="3" t="s">
        <v>30</v>
      </c>
      <c r="F185" s="3" t="s">
        <v>116</v>
      </c>
      <c r="G185" s="3"/>
      <c r="H185" s="3" t="s">
        <v>400</v>
      </c>
      <c r="I185" s="3" t="s">
        <v>43</v>
      </c>
      <c r="J185" s="3" t="s">
        <v>118</v>
      </c>
    </row>
    <row r="186" spans="1:10" x14ac:dyDescent="0.3">
      <c r="A186" s="3">
        <v>93</v>
      </c>
      <c r="B186" s="3" t="s">
        <v>401</v>
      </c>
      <c r="C186" s="3" t="s">
        <v>114</v>
      </c>
      <c r="D186" s="3" t="s">
        <v>115</v>
      </c>
      <c r="E186" s="3" t="s">
        <v>29</v>
      </c>
      <c r="F186" s="3" t="s">
        <v>116</v>
      </c>
      <c r="G186" s="3"/>
      <c r="H186" s="3" t="s">
        <v>402</v>
      </c>
      <c r="I186" s="3" t="s">
        <v>43</v>
      </c>
      <c r="J186" s="3" t="s">
        <v>118</v>
      </c>
    </row>
    <row r="187" spans="1:10" x14ac:dyDescent="0.3">
      <c r="A187" s="3">
        <v>93</v>
      </c>
      <c r="B187" s="3" t="s">
        <v>401</v>
      </c>
      <c r="C187" s="3" t="s">
        <v>114</v>
      </c>
      <c r="D187" s="3" t="s">
        <v>115</v>
      </c>
      <c r="E187" s="3" t="s">
        <v>30</v>
      </c>
      <c r="F187" s="3" t="s">
        <v>116</v>
      </c>
      <c r="G187" s="3"/>
      <c r="H187" s="3" t="s">
        <v>403</v>
      </c>
      <c r="I187" s="3" t="s">
        <v>43</v>
      </c>
      <c r="J187" s="3" t="s">
        <v>118</v>
      </c>
    </row>
    <row r="188" spans="1:10" x14ac:dyDescent="0.3">
      <c r="A188" s="3">
        <v>94</v>
      </c>
      <c r="B188" s="3" t="s">
        <v>404</v>
      </c>
      <c r="C188" s="3" t="s">
        <v>114</v>
      </c>
      <c r="D188" s="3" t="s">
        <v>115</v>
      </c>
      <c r="E188" s="3" t="s">
        <v>29</v>
      </c>
      <c r="F188" s="3" t="s">
        <v>116</v>
      </c>
      <c r="G188" s="3"/>
      <c r="H188" s="3" t="s">
        <v>405</v>
      </c>
      <c r="I188" s="3" t="s">
        <v>43</v>
      </c>
      <c r="J188" s="3" t="s">
        <v>118</v>
      </c>
    </row>
    <row r="189" spans="1:10" x14ac:dyDescent="0.3">
      <c r="A189" s="3">
        <v>94</v>
      </c>
      <c r="B189" s="3" t="s">
        <v>404</v>
      </c>
      <c r="C189" s="3" t="s">
        <v>114</v>
      </c>
      <c r="D189" s="3" t="s">
        <v>115</v>
      </c>
      <c r="E189" s="3" t="s">
        <v>30</v>
      </c>
      <c r="F189" s="3" t="s">
        <v>116</v>
      </c>
      <c r="G189" s="3"/>
      <c r="H189" s="3" t="s">
        <v>406</v>
      </c>
      <c r="I189" s="3" t="s">
        <v>43</v>
      </c>
      <c r="J189" s="3" t="s">
        <v>118</v>
      </c>
    </row>
    <row r="190" spans="1:10" x14ac:dyDescent="0.3">
      <c r="A190" s="3">
        <v>95</v>
      </c>
      <c r="B190" s="3" t="s">
        <v>407</v>
      </c>
      <c r="C190" s="3" t="s">
        <v>114</v>
      </c>
      <c r="D190" s="3" t="s">
        <v>115</v>
      </c>
      <c r="E190" s="3" t="s">
        <v>29</v>
      </c>
      <c r="F190" s="3" t="s">
        <v>116</v>
      </c>
      <c r="G190" s="3"/>
      <c r="H190" s="3" t="s">
        <v>408</v>
      </c>
      <c r="I190" s="3" t="s">
        <v>43</v>
      </c>
      <c r="J190" s="3" t="s">
        <v>118</v>
      </c>
    </row>
    <row r="191" spans="1:10" x14ac:dyDescent="0.3">
      <c r="A191" s="3">
        <v>95</v>
      </c>
      <c r="B191" s="3" t="s">
        <v>407</v>
      </c>
      <c r="C191" s="3" t="s">
        <v>114</v>
      </c>
      <c r="D191" s="3" t="s">
        <v>115</v>
      </c>
      <c r="E191" s="3" t="s">
        <v>30</v>
      </c>
      <c r="F191" s="3" t="s">
        <v>116</v>
      </c>
      <c r="G191" s="3"/>
      <c r="H191" s="3" t="s">
        <v>409</v>
      </c>
      <c r="I191" s="3" t="s">
        <v>43</v>
      </c>
      <c r="J191" s="3" t="s">
        <v>118</v>
      </c>
    </row>
    <row r="192" spans="1:10" x14ac:dyDescent="0.3">
      <c r="A192" s="3">
        <v>96</v>
      </c>
      <c r="B192" s="3" t="s">
        <v>410</v>
      </c>
      <c r="C192" s="3" t="s">
        <v>114</v>
      </c>
      <c r="D192" s="3" t="s">
        <v>115</v>
      </c>
      <c r="E192" s="3" t="s">
        <v>29</v>
      </c>
      <c r="F192" s="3" t="s">
        <v>116</v>
      </c>
      <c r="G192" s="3"/>
      <c r="H192" s="3" t="s">
        <v>411</v>
      </c>
      <c r="I192" s="3" t="s">
        <v>43</v>
      </c>
      <c r="J192" s="3" t="s">
        <v>118</v>
      </c>
    </row>
    <row r="193" spans="1:10" x14ac:dyDescent="0.3">
      <c r="A193" s="3">
        <v>96</v>
      </c>
      <c r="B193" s="3" t="s">
        <v>410</v>
      </c>
      <c r="C193" s="3" t="s">
        <v>114</v>
      </c>
      <c r="D193" s="3" t="s">
        <v>115</v>
      </c>
      <c r="E193" s="3" t="s">
        <v>30</v>
      </c>
      <c r="F193" s="3" t="s">
        <v>116</v>
      </c>
      <c r="G193" s="3"/>
      <c r="H193" s="3" t="s">
        <v>412</v>
      </c>
      <c r="I193" s="3" t="s">
        <v>43</v>
      </c>
      <c r="J193" s="3" t="s">
        <v>118</v>
      </c>
    </row>
    <row r="194" spans="1:10" x14ac:dyDescent="0.3">
      <c r="A194" s="3">
        <v>97</v>
      </c>
      <c r="B194" s="3" t="s">
        <v>413</v>
      </c>
      <c r="C194" s="3" t="s">
        <v>114</v>
      </c>
      <c r="D194" s="3" t="s">
        <v>115</v>
      </c>
      <c r="E194" s="3" t="s">
        <v>29</v>
      </c>
      <c r="F194" s="3" t="s">
        <v>116</v>
      </c>
      <c r="G194" s="3"/>
      <c r="H194" s="3" t="s">
        <v>414</v>
      </c>
      <c r="I194" s="3" t="s">
        <v>43</v>
      </c>
      <c r="J194" s="3" t="s">
        <v>118</v>
      </c>
    </row>
    <row r="195" spans="1:10" x14ac:dyDescent="0.3">
      <c r="A195" s="3">
        <v>97</v>
      </c>
      <c r="B195" s="3" t="s">
        <v>413</v>
      </c>
      <c r="C195" s="3" t="s">
        <v>114</v>
      </c>
      <c r="D195" s="3" t="s">
        <v>115</v>
      </c>
      <c r="E195" s="3" t="s">
        <v>30</v>
      </c>
      <c r="F195" s="3" t="s">
        <v>116</v>
      </c>
      <c r="G195" s="3"/>
      <c r="H195" s="3" t="s">
        <v>415</v>
      </c>
      <c r="I195" s="3" t="s">
        <v>43</v>
      </c>
      <c r="J195" s="3" t="s">
        <v>118</v>
      </c>
    </row>
    <row r="196" spans="1:10" x14ac:dyDescent="0.3">
      <c r="A196" s="3">
        <v>98</v>
      </c>
      <c r="B196" s="3" t="s">
        <v>416</v>
      </c>
      <c r="C196" s="3" t="s">
        <v>114</v>
      </c>
      <c r="D196" s="3" t="s">
        <v>115</v>
      </c>
      <c r="E196" s="3" t="s">
        <v>29</v>
      </c>
      <c r="F196" s="3" t="s">
        <v>116</v>
      </c>
      <c r="G196" s="3"/>
      <c r="H196" s="3" t="s">
        <v>417</v>
      </c>
      <c r="I196" s="3" t="s">
        <v>43</v>
      </c>
      <c r="J196" s="3" t="s">
        <v>118</v>
      </c>
    </row>
    <row r="197" spans="1:10" x14ac:dyDescent="0.3">
      <c r="A197" s="3">
        <v>98</v>
      </c>
      <c r="B197" s="3" t="s">
        <v>416</v>
      </c>
      <c r="C197" s="3" t="s">
        <v>114</v>
      </c>
      <c r="D197" s="3" t="s">
        <v>115</v>
      </c>
      <c r="E197" s="3" t="s">
        <v>30</v>
      </c>
      <c r="F197" s="3" t="s">
        <v>116</v>
      </c>
      <c r="G197" s="3"/>
      <c r="H197" s="3" t="s">
        <v>418</v>
      </c>
      <c r="I197" s="3" t="s">
        <v>43</v>
      </c>
      <c r="J197" s="3" t="s">
        <v>118</v>
      </c>
    </row>
    <row r="198" spans="1:10" x14ac:dyDescent="0.3">
      <c r="A198" s="3">
        <v>99</v>
      </c>
      <c r="B198" s="3" t="s">
        <v>419</v>
      </c>
      <c r="C198" s="3" t="s">
        <v>94</v>
      </c>
      <c r="D198" s="3" t="s">
        <v>420</v>
      </c>
      <c r="E198" s="3" t="s">
        <v>29</v>
      </c>
      <c r="F198" s="3" t="s">
        <v>421</v>
      </c>
      <c r="G198" s="3"/>
      <c r="H198" s="3" t="s">
        <v>422</v>
      </c>
      <c r="I198" s="3" t="s">
        <v>45</v>
      </c>
      <c r="J198" s="3" t="s">
        <v>423</v>
      </c>
    </row>
    <row r="199" spans="1:10" x14ac:dyDescent="0.3">
      <c r="A199" s="3">
        <v>99</v>
      </c>
      <c r="B199" s="3" t="s">
        <v>419</v>
      </c>
      <c r="C199" s="3" t="s">
        <v>94</v>
      </c>
      <c r="D199" s="3" t="s">
        <v>420</v>
      </c>
      <c r="E199" s="3" t="s">
        <v>30</v>
      </c>
      <c r="F199" s="3" t="s">
        <v>421</v>
      </c>
      <c r="G199" s="3"/>
      <c r="H199" s="3" t="s">
        <v>424</v>
      </c>
      <c r="I199" s="3" t="s">
        <v>45</v>
      </c>
      <c r="J199" s="3" t="s">
        <v>423</v>
      </c>
    </row>
    <row r="200" spans="1:10" x14ac:dyDescent="0.3">
      <c r="A200" s="3">
        <v>100</v>
      </c>
      <c r="B200" s="3" t="s">
        <v>425</v>
      </c>
      <c r="C200" s="3" t="s">
        <v>114</v>
      </c>
      <c r="D200" s="3" t="s">
        <v>115</v>
      </c>
      <c r="E200" s="3" t="s">
        <v>29</v>
      </c>
      <c r="F200" s="3" t="s">
        <v>116</v>
      </c>
      <c r="G200" s="3"/>
      <c r="H200" s="3" t="s">
        <v>426</v>
      </c>
      <c r="I200" s="3" t="s">
        <v>43</v>
      </c>
      <c r="J200" s="3" t="s">
        <v>118</v>
      </c>
    </row>
    <row r="201" spans="1:10" x14ac:dyDescent="0.3">
      <c r="A201" s="3">
        <v>100</v>
      </c>
      <c r="B201" s="3" t="s">
        <v>425</v>
      </c>
      <c r="C201" s="3" t="s">
        <v>114</v>
      </c>
      <c r="D201" s="3" t="s">
        <v>115</v>
      </c>
      <c r="E201" s="3" t="s">
        <v>30</v>
      </c>
      <c r="F201" s="3" t="s">
        <v>116</v>
      </c>
      <c r="G201" s="3"/>
      <c r="H201" s="3" t="s">
        <v>427</v>
      </c>
      <c r="I201" s="3" t="s">
        <v>43</v>
      </c>
      <c r="J201" s="3" t="s">
        <v>118</v>
      </c>
    </row>
    <row r="202" spans="1:10" x14ac:dyDescent="0.3">
      <c r="A202" s="3">
        <v>101</v>
      </c>
      <c r="B202" s="3" t="s">
        <v>428</v>
      </c>
      <c r="C202" s="3" t="s">
        <v>94</v>
      </c>
      <c r="D202" s="3" t="s">
        <v>420</v>
      </c>
      <c r="E202" s="3" t="s">
        <v>29</v>
      </c>
      <c r="F202" s="3" t="s">
        <v>421</v>
      </c>
      <c r="G202" s="3"/>
      <c r="H202" s="3" t="s">
        <v>429</v>
      </c>
      <c r="I202" s="3" t="s">
        <v>45</v>
      </c>
      <c r="J202" s="3" t="s">
        <v>423</v>
      </c>
    </row>
    <row r="203" spans="1:10" x14ac:dyDescent="0.3">
      <c r="A203" s="3">
        <v>101</v>
      </c>
      <c r="B203" s="3" t="s">
        <v>428</v>
      </c>
      <c r="C203" s="3" t="s">
        <v>94</v>
      </c>
      <c r="D203" s="3" t="s">
        <v>420</v>
      </c>
      <c r="E203" s="3" t="s">
        <v>30</v>
      </c>
      <c r="F203" s="3" t="s">
        <v>421</v>
      </c>
      <c r="G203" s="3"/>
      <c r="H203" s="3" t="s">
        <v>430</v>
      </c>
      <c r="I203" s="3" t="s">
        <v>45</v>
      </c>
      <c r="J203" s="3" t="s">
        <v>423</v>
      </c>
    </row>
    <row r="204" spans="1:10" x14ac:dyDescent="0.3">
      <c r="A204" s="3">
        <v>102</v>
      </c>
      <c r="B204" s="3" t="s">
        <v>431</v>
      </c>
      <c r="C204" s="3" t="s">
        <v>114</v>
      </c>
      <c r="D204" s="3" t="s">
        <v>115</v>
      </c>
      <c r="E204" s="3" t="s">
        <v>29</v>
      </c>
      <c r="F204" s="3" t="s">
        <v>116</v>
      </c>
      <c r="G204" s="3"/>
      <c r="H204" s="3" t="s">
        <v>432</v>
      </c>
      <c r="I204" s="3" t="s">
        <v>43</v>
      </c>
      <c r="J204" s="3" t="s">
        <v>118</v>
      </c>
    </row>
    <row r="205" spans="1:10" x14ac:dyDescent="0.3">
      <c r="A205" s="3">
        <v>102</v>
      </c>
      <c r="B205" s="3" t="s">
        <v>431</v>
      </c>
      <c r="C205" s="3" t="s">
        <v>114</v>
      </c>
      <c r="D205" s="3" t="s">
        <v>115</v>
      </c>
      <c r="E205" s="3" t="s">
        <v>30</v>
      </c>
      <c r="F205" s="3" t="s">
        <v>116</v>
      </c>
      <c r="G205" s="3"/>
      <c r="H205" s="3" t="s">
        <v>433</v>
      </c>
      <c r="I205" s="3" t="s">
        <v>43</v>
      </c>
      <c r="J205" s="3" t="s">
        <v>118</v>
      </c>
    </row>
    <row r="206" spans="1:10" x14ac:dyDescent="0.3">
      <c r="A206" s="3">
        <v>103</v>
      </c>
      <c r="B206" s="3" t="s">
        <v>434</v>
      </c>
      <c r="C206" s="3" t="s">
        <v>114</v>
      </c>
      <c r="D206" s="3" t="s">
        <v>115</v>
      </c>
      <c r="E206" s="3" t="s">
        <v>29</v>
      </c>
      <c r="F206" s="3" t="s">
        <v>116</v>
      </c>
      <c r="G206" s="3"/>
      <c r="H206" s="3" t="s">
        <v>435</v>
      </c>
      <c r="I206" s="3" t="s">
        <v>43</v>
      </c>
      <c r="J206" s="3" t="s">
        <v>118</v>
      </c>
    </row>
    <row r="207" spans="1:10" x14ac:dyDescent="0.3">
      <c r="A207" s="3">
        <v>103</v>
      </c>
      <c r="B207" s="3" t="s">
        <v>434</v>
      </c>
      <c r="C207" s="3" t="s">
        <v>114</v>
      </c>
      <c r="D207" s="3" t="s">
        <v>115</v>
      </c>
      <c r="E207" s="3" t="s">
        <v>30</v>
      </c>
      <c r="F207" s="3" t="s">
        <v>116</v>
      </c>
      <c r="G207" s="3"/>
      <c r="H207" s="3" t="s">
        <v>436</v>
      </c>
      <c r="I207" s="3" t="s">
        <v>43</v>
      </c>
      <c r="J207" s="3" t="s">
        <v>118</v>
      </c>
    </row>
    <row r="208" spans="1:10" x14ac:dyDescent="0.3">
      <c r="A208" s="3">
        <v>104</v>
      </c>
      <c r="B208" s="3" t="s">
        <v>437</v>
      </c>
      <c r="C208" s="3" t="s">
        <v>94</v>
      </c>
      <c r="D208" s="3" t="s">
        <v>420</v>
      </c>
      <c r="E208" s="3" t="s">
        <v>29</v>
      </c>
      <c r="F208" s="3" t="s">
        <v>421</v>
      </c>
      <c r="G208" s="3"/>
      <c r="H208" s="3" t="s">
        <v>438</v>
      </c>
      <c r="I208" s="3" t="s">
        <v>45</v>
      </c>
      <c r="J208" s="3" t="s">
        <v>423</v>
      </c>
    </row>
    <row r="209" spans="1:10" x14ac:dyDescent="0.3">
      <c r="A209" s="3">
        <v>104</v>
      </c>
      <c r="B209" s="3" t="s">
        <v>437</v>
      </c>
      <c r="C209" s="3" t="s">
        <v>94</v>
      </c>
      <c r="D209" s="3" t="s">
        <v>420</v>
      </c>
      <c r="E209" s="3" t="s">
        <v>30</v>
      </c>
      <c r="F209" s="3" t="s">
        <v>421</v>
      </c>
      <c r="G209" s="3"/>
      <c r="H209" s="3" t="s">
        <v>439</v>
      </c>
      <c r="I209" s="3" t="s">
        <v>45</v>
      </c>
      <c r="J209" s="3" t="s">
        <v>423</v>
      </c>
    </row>
    <row r="210" spans="1:10" x14ac:dyDescent="0.3">
      <c r="A210" s="3">
        <v>105</v>
      </c>
      <c r="B210" s="3" t="s">
        <v>440</v>
      </c>
      <c r="C210" s="3" t="s">
        <v>94</v>
      </c>
      <c r="D210" s="3" t="s">
        <v>420</v>
      </c>
      <c r="E210" s="3" t="s">
        <v>29</v>
      </c>
      <c r="F210" s="3" t="s">
        <v>421</v>
      </c>
      <c r="G210" s="3"/>
      <c r="H210" s="3" t="s">
        <v>441</v>
      </c>
      <c r="I210" s="3" t="s">
        <v>45</v>
      </c>
      <c r="J210" s="3" t="s">
        <v>423</v>
      </c>
    </row>
    <row r="211" spans="1:10" x14ac:dyDescent="0.3">
      <c r="A211" s="3">
        <v>105</v>
      </c>
      <c r="B211" s="3" t="s">
        <v>440</v>
      </c>
      <c r="C211" s="3" t="s">
        <v>94</v>
      </c>
      <c r="D211" s="3" t="s">
        <v>420</v>
      </c>
      <c r="E211" s="3" t="s">
        <v>30</v>
      </c>
      <c r="F211" s="3" t="s">
        <v>421</v>
      </c>
      <c r="G211" s="3"/>
      <c r="H211" s="3" t="s">
        <v>442</v>
      </c>
      <c r="I211" s="3" t="s">
        <v>45</v>
      </c>
      <c r="J211" s="3" t="s">
        <v>423</v>
      </c>
    </row>
    <row r="212" spans="1:10" x14ac:dyDescent="0.3">
      <c r="A212" s="3">
        <v>106</v>
      </c>
      <c r="B212" s="3" t="s">
        <v>443</v>
      </c>
      <c r="C212" s="3" t="s">
        <v>94</v>
      </c>
      <c r="D212" s="3" t="s">
        <v>420</v>
      </c>
      <c r="E212" s="3" t="s">
        <v>29</v>
      </c>
      <c r="F212" s="3" t="s">
        <v>421</v>
      </c>
      <c r="G212" s="3"/>
      <c r="H212" s="3" t="s">
        <v>444</v>
      </c>
      <c r="I212" s="3" t="s">
        <v>45</v>
      </c>
      <c r="J212" s="3" t="s">
        <v>423</v>
      </c>
    </row>
    <row r="213" spans="1:10" x14ac:dyDescent="0.3">
      <c r="A213" s="3">
        <v>106</v>
      </c>
      <c r="B213" s="3" t="s">
        <v>443</v>
      </c>
      <c r="C213" s="3" t="s">
        <v>94</v>
      </c>
      <c r="D213" s="3" t="s">
        <v>420</v>
      </c>
      <c r="E213" s="3" t="s">
        <v>30</v>
      </c>
      <c r="F213" s="3" t="s">
        <v>421</v>
      </c>
      <c r="G213" s="3"/>
      <c r="H213" s="3" t="s">
        <v>445</v>
      </c>
      <c r="I213" s="3" t="s">
        <v>45</v>
      </c>
      <c r="J213" s="3" t="s">
        <v>423</v>
      </c>
    </row>
    <row r="214" spans="1:10" x14ac:dyDescent="0.3">
      <c r="A214" s="3">
        <v>107</v>
      </c>
      <c r="B214" s="3" t="s">
        <v>446</v>
      </c>
      <c r="C214" s="3" t="s">
        <v>114</v>
      </c>
      <c r="D214" s="3" t="s">
        <v>115</v>
      </c>
      <c r="E214" s="3" t="s">
        <v>29</v>
      </c>
      <c r="F214" s="3" t="s">
        <v>116</v>
      </c>
      <c r="G214" s="3"/>
      <c r="H214" s="3" t="s">
        <v>447</v>
      </c>
      <c r="I214" s="3" t="s">
        <v>43</v>
      </c>
      <c r="J214" s="3" t="s">
        <v>118</v>
      </c>
    </row>
    <row r="215" spans="1:10" x14ac:dyDescent="0.3">
      <c r="A215" s="3">
        <v>107</v>
      </c>
      <c r="B215" s="3" t="s">
        <v>446</v>
      </c>
      <c r="C215" s="3" t="s">
        <v>114</v>
      </c>
      <c r="D215" s="3" t="s">
        <v>115</v>
      </c>
      <c r="E215" s="3" t="s">
        <v>30</v>
      </c>
      <c r="F215" s="3" t="s">
        <v>116</v>
      </c>
      <c r="G215" s="3"/>
      <c r="H215" s="3" t="s">
        <v>448</v>
      </c>
      <c r="I215" s="3" t="s">
        <v>43</v>
      </c>
      <c r="J215" s="3" t="s">
        <v>118</v>
      </c>
    </row>
    <row r="216" spans="1:10" x14ac:dyDescent="0.3">
      <c r="A216" s="3">
        <v>108</v>
      </c>
      <c r="B216" s="3" t="s">
        <v>449</v>
      </c>
      <c r="C216" s="3" t="s">
        <v>114</v>
      </c>
      <c r="D216" s="3" t="s">
        <v>115</v>
      </c>
      <c r="E216" s="3" t="s">
        <v>29</v>
      </c>
      <c r="F216" s="3" t="s">
        <v>116</v>
      </c>
      <c r="G216" s="3"/>
      <c r="H216" s="3" t="s">
        <v>450</v>
      </c>
      <c r="I216" s="3" t="s">
        <v>43</v>
      </c>
      <c r="J216" s="3" t="s">
        <v>118</v>
      </c>
    </row>
    <row r="217" spans="1:10" x14ac:dyDescent="0.3">
      <c r="A217" s="3">
        <v>108</v>
      </c>
      <c r="B217" s="3" t="s">
        <v>449</v>
      </c>
      <c r="C217" s="3" t="s">
        <v>114</v>
      </c>
      <c r="D217" s="3" t="s">
        <v>115</v>
      </c>
      <c r="E217" s="3" t="s">
        <v>30</v>
      </c>
      <c r="F217" s="3" t="s">
        <v>116</v>
      </c>
      <c r="G217" s="3"/>
      <c r="H217" s="3" t="s">
        <v>451</v>
      </c>
      <c r="I217" s="3" t="s">
        <v>43</v>
      </c>
      <c r="J217" s="3" t="s">
        <v>118</v>
      </c>
    </row>
    <row r="218" spans="1:10" x14ac:dyDescent="0.3">
      <c r="A218" s="3">
        <v>109</v>
      </c>
      <c r="B218" s="3" t="s">
        <v>452</v>
      </c>
      <c r="C218" s="3" t="s">
        <v>150</v>
      </c>
      <c r="D218" s="3" t="s">
        <v>453</v>
      </c>
      <c r="E218" s="3" t="s">
        <v>29</v>
      </c>
      <c r="F218" s="3" t="s">
        <v>454</v>
      </c>
      <c r="G218" s="3"/>
      <c r="H218" s="3" t="s">
        <v>455</v>
      </c>
      <c r="I218" s="3" t="s">
        <v>43</v>
      </c>
      <c r="J218" s="3" t="s">
        <v>456</v>
      </c>
    </row>
    <row r="219" spans="1:10" x14ac:dyDescent="0.3">
      <c r="A219" s="3">
        <v>109</v>
      </c>
      <c r="B219" s="3" t="s">
        <v>452</v>
      </c>
      <c r="C219" s="3" t="s">
        <v>150</v>
      </c>
      <c r="D219" s="3" t="s">
        <v>453</v>
      </c>
      <c r="E219" s="3" t="s">
        <v>30</v>
      </c>
      <c r="F219" s="3" t="s">
        <v>454</v>
      </c>
      <c r="G219" s="3"/>
      <c r="H219" s="3" t="s">
        <v>457</v>
      </c>
      <c r="I219" s="3" t="s">
        <v>43</v>
      </c>
      <c r="J219" s="3" t="s">
        <v>456</v>
      </c>
    </row>
    <row r="220" spans="1:10" x14ac:dyDescent="0.3">
      <c r="A220" s="3">
        <v>110</v>
      </c>
      <c r="B220" s="3" t="s">
        <v>458</v>
      </c>
      <c r="C220" s="3" t="s">
        <v>150</v>
      </c>
      <c r="D220" s="3" t="s">
        <v>453</v>
      </c>
      <c r="E220" s="3" t="s">
        <v>29</v>
      </c>
      <c r="F220" s="3" t="s">
        <v>454</v>
      </c>
      <c r="G220" s="3"/>
      <c r="H220" s="3" t="s">
        <v>459</v>
      </c>
      <c r="I220" s="3" t="s">
        <v>43</v>
      </c>
      <c r="J220" s="3" t="s">
        <v>456</v>
      </c>
    </row>
    <row r="221" spans="1:10" x14ac:dyDescent="0.3">
      <c r="A221" s="3">
        <v>110</v>
      </c>
      <c r="B221" s="3" t="s">
        <v>458</v>
      </c>
      <c r="C221" s="3" t="s">
        <v>150</v>
      </c>
      <c r="D221" s="3" t="s">
        <v>453</v>
      </c>
      <c r="E221" s="3" t="s">
        <v>30</v>
      </c>
      <c r="F221" s="3" t="s">
        <v>454</v>
      </c>
      <c r="G221" s="3"/>
      <c r="H221" s="3" t="s">
        <v>460</v>
      </c>
      <c r="I221" s="3" t="s">
        <v>43</v>
      </c>
      <c r="J221" s="3" t="s">
        <v>456</v>
      </c>
    </row>
    <row r="222" spans="1:10" x14ac:dyDescent="0.3">
      <c r="A222" s="3">
        <v>111</v>
      </c>
      <c r="B222" s="3" t="s">
        <v>461</v>
      </c>
      <c r="C222" s="3" t="s">
        <v>150</v>
      </c>
      <c r="D222" s="3" t="s">
        <v>453</v>
      </c>
      <c r="E222" s="3" t="s">
        <v>29</v>
      </c>
      <c r="F222" s="3" t="s">
        <v>454</v>
      </c>
      <c r="G222" s="3"/>
      <c r="H222" s="3" t="s">
        <v>462</v>
      </c>
      <c r="I222" s="3" t="s">
        <v>43</v>
      </c>
      <c r="J222" s="3" t="s">
        <v>456</v>
      </c>
    </row>
    <row r="223" spans="1:10" x14ac:dyDescent="0.3">
      <c r="A223" s="3">
        <v>111</v>
      </c>
      <c r="B223" s="3" t="s">
        <v>461</v>
      </c>
      <c r="C223" s="3" t="s">
        <v>150</v>
      </c>
      <c r="D223" s="3" t="s">
        <v>453</v>
      </c>
      <c r="E223" s="3" t="s">
        <v>30</v>
      </c>
      <c r="F223" s="3" t="s">
        <v>454</v>
      </c>
      <c r="G223" s="3"/>
      <c r="H223" s="3" t="s">
        <v>463</v>
      </c>
      <c r="I223" s="3" t="s">
        <v>43</v>
      </c>
      <c r="J223" s="3" t="s">
        <v>456</v>
      </c>
    </row>
    <row r="224" spans="1:10" x14ac:dyDescent="0.3">
      <c r="A224" s="3">
        <v>112</v>
      </c>
      <c r="B224" s="3" t="s">
        <v>464</v>
      </c>
      <c r="C224" s="3" t="s">
        <v>114</v>
      </c>
      <c r="D224" s="3" t="s">
        <v>115</v>
      </c>
      <c r="E224" s="3" t="s">
        <v>29</v>
      </c>
      <c r="F224" s="3" t="s">
        <v>116</v>
      </c>
      <c r="G224" s="3"/>
      <c r="H224" s="3" t="s">
        <v>465</v>
      </c>
      <c r="I224" s="3" t="s">
        <v>43</v>
      </c>
      <c r="J224" s="3" t="s">
        <v>118</v>
      </c>
    </row>
    <row r="225" spans="1:10" x14ac:dyDescent="0.3">
      <c r="A225" s="3">
        <v>112</v>
      </c>
      <c r="B225" s="3" t="s">
        <v>464</v>
      </c>
      <c r="C225" s="3" t="s">
        <v>114</v>
      </c>
      <c r="D225" s="3" t="s">
        <v>115</v>
      </c>
      <c r="E225" s="3" t="s">
        <v>30</v>
      </c>
      <c r="F225" s="3" t="s">
        <v>116</v>
      </c>
      <c r="G225" s="3"/>
      <c r="H225" s="3" t="s">
        <v>466</v>
      </c>
      <c r="I225" s="3" t="s">
        <v>43</v>
      </c>
      <c r="J225" s="3" t="s">
        <v>118</v>
      </c>
    </row>
    <row r="226" spans="1:10" x14ac:dyDescent="0.3">
      <c r="A226" s="3">
        <v>113</v>
      </c>
      <c r="B226" s="3" t="s">
        <v>467</v>
      </c>
      <c r="C226" s="3" t="s">
        <v>114</v>
      </c>
      <c r="D226" s="3" t="s">
        <v>115</v>
      </c>
      <c r="E226" s="3" t="s">
        <v>29</v>
      </c>
      <c r="F226" s="3" t="s">
        <v>116</v>
      </c>
      <c r="G226" s="3"/>
      <c r="H226" s="3" t="s">
        <v>468</v>
      </c>
      <c r="I226" s="3" t="s">
        <v>43</v>
      </c>
      <c r="J226" s="3" t="s">
        <v>118</v>
      </c>
    </row>
    <row r="227" spans="1:10" x14ac:dyDescent="0.3">
      <c r="A227" s="3">
        <v>113</v>
      </c>
      <c r="B227" s="3" t="s">
        <v>467</v>
      </c>
      <c r="C227" s="3" t="s">
        <v>114</v>
      </c>
      <c r="D227" s="3" t="s">
        <v>115</v>
      </c>
      <c r="E227" s="3" t="s">
        <v>30</v>
      </c>
      <c r="F227" s="3" t="s">
        <v>116</v>
      </c>
      <c r="G227" s="3"/>
      <c r="H227" s="3" t="s">
        <v>469</v>
      </c>
      <c r="I227" s="3" t="s">
        <v>43</v>
      </c>
      <c r="J227" s="3" t="s">
        <v>118</v>
      </c>
    </row>
    <row r="228" spans="1:10" x14ac:dyDescent="0.3">
      <c r="A228" s="3">
        <v>114</v>
      </c>
      <c r="B228" s="3" t="s">
        <v>470</v>
      </c>
      <c r="C228" s="3" t="s">
        <v>114</v>
      </c>
      <c r="D228" s="3" t="s">
        <v>115</v>
      </c>
      <c r="E228" s="3" t="s">
        <v>29</v>
      </c>
      <c r="F228" s="3" t="s">
        <v>116</v>
      </c>
      <c r="G228" s="3"/>
      <c r="H228" s="3" t="s">
        <v>471</v>
      </c>
      <c r="I228" s="3" t="s">
        <v>43</v>
      </c>
      <c r="J228" s="3" t="s">
        <v>118</v>
      </c>
    </row>
    <row r="229" spans="1:10" x14ac:dyDescent="0.3">
      <c r="A229" s="3">
        <v>114</v>
      </c>
      <c r="B229" s="3" t="s">
        <v>470</v>
      </c>
      <c r="C229" s="3" t="s">
        <v>114</v>
      </c>
      <c r="D229" s="3" t="s">
        <v>115</v>
      </c>
      <c r="E229" s="3" t="s">
        <v>30</v>
      </c>
      <c r="F229" s="3" t="s">
        <v>116</v>
      </c>
      <c r="G229" s="3"/>
      <c r="H229" s="3" t="s">
        <v>472</v>
      </c>
      <c r="I229" s="3" t="s">
        <v>43</v>
      </c>
      <c r="J229" s="3" t="s">
        <v>118</v>
      </c>
    </row>
    <row r="230" spans="1:10" x14ac:dyDescent="0.3">
      <c r="A230" s="3">
        <v>115</v>
      </c>
      <c r="B230" s="3" t="s">
        <v>473</v>
      </c>
      <c r="C230" s="3" t="s">
        <v>196</v>
      </c>
      <c r="D230" s="3" t="s">
        <v>387</v>
      </c>
      <c r="E230" s="3" t="s">
        <v>29</v>
      </c>
      <c r="F230" s="3" t="s">
        <v>388</v>
      </c>
      <c r="G230" s="3"/>
      <c r="H230" s="3" t="s">
        <v>474</v>
      </c>
      <c r="I230" s="3" t="s">
        <v>45</v>
      </c>
      <c r="J230" s="3" t="s">
        <v>390</v>
      </c>
    </row>
    <row r="231" spans="1:10" x14ac:dyDescent="0.3">
      <c r="A231" s="3">
        <v>115</v>
      </c>
      <c r="B231" s="3" t="s">
        <v>473</v>
      </c>
      <c r="C231" s="3" t="s">
        <v>196</v>
      </c>
      <c r="D231" s="3" t="s">
        <v>387</v>
      </c>
      <c r="E231" s="3" t="s">
        <v>30</v>
      </c>
      <c r="F231" s="3" t="s">
        <v>388</v>
      </c>
      <c r="G231" s="3"/>
      <c r="H231" s="3" t="s">
        <v>475</v>
      </c>
      <c r="I231" s="3" t="s">
        <v>45</v>
      </c>
      <c r="J231" s="3" t="s">
        <v>390</v>
      </c>
    </row>
    <row r="232" spans="1:10" x14ac:dyDescent="0.3">
      <c r="A232" s="3">
        <v>116</v>
      </c>
      <c r="B232" s="3" t="s">
        <v>476</v>
      </c>
      <c r="C232" s="3" t="s">
        <v>477</v>
      </c>
      <c r="D232" s="3" t="s">
        <v>115</v>
      </c>
      <c r="E232" s="3" t="s">
        <v>29</v>
      </c>
      <c r="F232" s="3" t="s">
        <v>116</v>
      </c>
      <c r="G232" s="3"/>
      <c r="H232" s="3" t="s">
        <v>478</v>
      </c>
      <c r="I232" s="3" t="s">
        <v>43</v>
      </c>
      <c r="J232" s="3" t="s">
        <v>118</v>
      </c>
    </row>
    <row r="233" spans="1:10" x14ac:dyDescent="0.3">
      <c r="A233" s="3">
        <v>116</v>
      </c>
      <c r="B233" s="3" t="s">
        <v>476</v>
      </c>
      <c r="C233" s="3" t="s">
        <v>477</v>
      </c>
      <c r="D233" s="3" t="s">
        <v>115</v>
      </c>
      <c r="E233" s="3" t="s">
        <v>30</v>
      </c>
      <c r="F233" s="3" t="s">
        <v>116</v>
      </c>
      <c r="G233" s="3"/>
      <c r="H233" s="3" t="s">
        <v>479</v>
      </c>
      <c r="I233" s="3" t="s">
        <v>43</v>
      </c>
      <c r="J233" s="3" t="s">
        <v>118</v>
      </c>
    </row>
    <row r="234" spans="1:10" x14ac:dyDescent="0.3">
      <c r="A234" s="3">
        <v>117</v>
      </c>
      <c r="B234" s="3" t="s">
        <v>480</v>
      </c>
      <c r="C234" s="3" t="s">
        <v>114</v>
      </c>
      <c r="D234" s="3" t="s">
        <v>375</v>
      </c>
      <c r="E234" s="3" t="s">
        <v>29</v>
      </c>
      <c r="F234" s="3" t="s">
        <v>376</v>
      </c>
      <c r="G234" s="3"/>
      <c r="H234" s="3" t="s">
        <v>481</v>
      </c>
      <c r="I234" s="3" t="s">
        <v>43</v>
      </c>
      <c r="J234" s="3" t="s">
        <v>378</v>
      </c>
    </row>
    <row r="235" spans="1:10" x14ac:dyDescent="0.3">
      <c r="A235" s="3">
        <v>117</v>
      </c>
      <c r="B235" s="3" t="s">
        <v>480</v>
      </c>
      <c r="C235" s="3" t="s">
        <v>114</v>
      </c>
      <c r="D235" s="3" t="s">
        <v>375</v>
      </c>
      <c r="E235" s="3" t="s">
        <v>30</v>
      </c>
      <c r="F235" s="3" t="s">
        <v>376</v>
      </c>
      <c r="G235" s="3"/>
      <c r="H235" s="3" t="s">
        <v>482</v>
      </c>
      <c r="I235" s="3" t="s">
        <v>43</v>
      </c>
      <c r="J235" s="3" t="s">
        <v>378</v>
      </c>
    </row>
    <row r="236" spans="1:10" x14ac:dyDescent="0.3">
      <c r="A236" s="3">
        <v>118</v>
      </c>
      <c r="B236" s="3" t="s">
        <v>483</v>
      </c>
      <c r="C236" s="3" t="s">
        <v>477</v>
      </c>
      <c r="D236" s="3" t="s">
        <v>484</v>
      </c>
      <c r="E236" s="3" t="s">
        <v>29</v>
      </c>
      <c r="F236" s="3" t="s">
        <v>485</v>
      </c>
      <c r="G236" s="3"/>
      <c r="H236" s="3" t="s">
        <v>486</v>
      </c>
      <c r="I236" s="3" t="s">
        <v>43</v>
      </c>
      <c r="J236" s="3" t="s">
        <v>487</v>
      </c>
    </row>
    <row r="237" spans="1:10" x14ac:dyDescent="0.3">
      <c r="A237" s="3">
        <v>118</v>
      </c>
      <c r="B237" s="3" t="s">
        <v>483</v>
      </c>
      <c r="C237" s="3" t="s">
        <v>477</v>
      </c>
      <c r="D237" s="3" t="s">
        <v>484</v>
      </c>
      <c r="E237" s="3" t="s">
        <v>30</v>
      </c>
      <c r="F237" s="3" t="s">
        <v>485</v>
      </c>
      <c r="G237" s="3"/>
      <c r="H237" s="3" t="s">
        <v>488</v>
      </c>
      <c r="I237" s="3" t="s">
        <v>43</v>
      </c>
      <c r="J237" s="3" t="s">
        <v>487</v>
      </c>
    </row>
    <row r="238" spans="1:10" x14ac:dyDescent="0.3">
      <c r="A238" s="3">
        <v>119</v>
      </c>
      <c r="B238" s="3" t="s">
        <v>489</v>
      </c>
      <c r="C238" s="3" t="s">
        <v>477</v>
      </c>
      <c r="D238" s="3" t="s">
        <v>115</v>
      </c>
      <c r="E238" s="3" t="s">
        <v>29</v>
      </c>
      <c r="F238" s="3" t="s">
        <v>116</v>
      </c>
      <c r="G238" s="3"/>
      <c r="H238" s="3" t="s">
        <v>490</v>
      </c>
      <c r="I238" s="3" t="s">
        <v>43</v>
      </c>
      <c r="J238" s="3" t="s">
        <v>118</v>
      </c>
    </row>
    <row r="239" spans="1:10" x14ac:dyDescent="0.3">
      <c r="A239" s="3">
        <v>119</v>
      </c>
      <c r="B239" s="3" t="s">
        <v>489</v>
      </c>
      <c r="C239" s="3" t="s">
        <v>477</v>
      </c>
      <c r="D239" s="3" t="s">
        <v>115</v>
      </c>
      <c r="E239" s="3" t="s">
        <v>30</v>
      </c>
      <c r="F239" s="3" t="s">
        <v>116</v>
      </c>
      <c r="G239" s="3"/>
      <c r="H239" s="3" t="s">
        <v>491</v>
      </c>
      <c r="I239" s="3" t="s">
        <v>43</v>
      </c>
      <c r="J239" s="3" t="s">
        <v>118</v>
      </c>
    </row>
    <row r="240" spans="1:10" x14ac:dyDescent="0.3">
      <c r="A240" s="3">
        <v>120</v>
      </c>
      <c r="B240" s="3" t="s">
        <v>492</v>
      </c>
      <c r="C240" s="3" t="s">
        <v>114</v>
      </c>
      <c r="D240" s="3" t="s">
        <v>115</v>
      </c>
      <c r="E240" s="3" t="s">
        <v>29</v>
      </c>
      <c r="F240" s="3" t="s">
        <v>116</v>
      </c>
      <c r="G240" s="3"/>
      <c r="H240" s="3" t="s">
        <v>493</v>
      </c>
      <c r="I240" s="3" t="s">
        <v>43</v>
      </c>
      <c r="J240" s="3" t="s">
        <v>118</v>
      </c>
    </row>
    <row r="241" spans="1:10" x14ac:dyDescent="0.3">
      <c r="A241" s="3">
        <v>120</v>
      </c>
      <c r="B241" s="3" t="s">
        <v>492</v>
      </c>
      <c r="C241" s="3" t="s">
        <v>114</v>
      </c>
      <c r="D241" s="3" t="s">
        <v>115</v>
      </c>
      <c r="E241" s="3" t="s">
        <v>30</v>
      </c>
      <c r="F241" s="3" t="s">
        <v>116</v>
      </c>
      <c r="G241" s="3"/>
      <c r="H241" s="3" t="s">
        <v>494</v>
      </c>
      <c r="I241" s="3" t="s">
        <v>43</v>
      </c>
      <c r="J241" s="3" t="s">
        <v>118</v>
      </c>
    </row>
    <row r="242" spans="1:10" x14ac:dyDescent="0.3">
      <c r="A242" s="3">
        <v>121</v>
      </c>
      <c r="B242" s="3" t="s">
        <v>495</v>
      </c>
      <c r="C242" s="3" t="s">
        <v>196</v>
      </c>
      <c r="D242" s="3" t="s">
        <v>387</v>
      </c>
      <c r="E242" s="3" t="s">
        <v>29</v>
      </c>
      <c r="F242" s="3" t="s">
        <v>388</v>
      </c>
      <c r="G242" s="3"/>
      <c r="H242" s="3" t="s">
        <v>496</v>
      </c>
      <c r="I242" s="3" t="s">
        <v>45</v>
      </c>
      <c r="J242" s="3" t="s">
        <v>390</v>
      </c>
    </row>
    <row r="243" spans="1:10" x14ac:dyDescent="0.3">
      <c r="A243" s="3">
        <v>121</v>
      </c>
      <c r="B243" s="3" t="s">
        <v>495</v>
      </c>
      <c r="C243" s="3" t="s">
        <v>196</v>
      </c>
      <c r="D243" s="3" t="s">
        <v>387</v>
      </c>
      <c r="E243" s="3" t="s">
        <v>30</v>
      </c>
      <c r="F243" s="3" t="s">
        <v>388</v>
      </c>
      <c r="G243" s="3"/>
      <c r="H243" s="3" t="s">
        <v>497</v>
      </c>
      <c r="I243" s="3" t="s">
        <v>45</v>
      </c>
      <c r="J243" s="3" t="s">
        <v>390</v>
      </c>
    </row>
    <row r="244" spans="1:10" x14ac:dyDescent="0.3">
      <c r="A244" s="3">
        <v>122</v>
      </c>
      <c r="B244" s="3" t="s">
        <v>498</v>
      </c>
      <c r="C244" s="3" t="s">
        <v>196</v>
      </c>
      <c r="D244" s="3" t="s">
        <v>387</v>
      </c>
      <c r="E244" s="3" t="s">
        <v>29</v>
      </c>
      <c r="F244" s="3" t="s">
        <v>388</v>
      </c>
      <c r="G244" s="3"/>
      <c r="H244" s="3" t="s">
        <v>499</v>
      </c>
      <c r="I244" s="3" t="s">
        <v>45</v>
      </c>
      <c r="J244" s="3" t="s">
        <v>390</v>
      </c>
    </row>
    <row r="245" spans="1:10" x14ac:dyDescent="0.3">
      <c r="A245" s="3">
        <v>122</v>
      </c>
      <c r="B245" s="3" t="s">
        <v>498</v>
      </c>
      <c r="C245" s="3" t="s">
        <v>196</v>
      </c>
      <c r="D245" s="3" t="s">
        <v>387</v>
      </c>
      <c r="E245" s="3" t="s">
        <v>30</v>
      </c>
      <c r="F245" s="3" t="s">
        <v>388</v>
      </c>
      <c r="G245" s="3"/>
      <c r="H245" s="3" t="s">
        <v>500</v>
      </c>
      <c r="I245" s="3" t="s">
        <v>45</v>
      </c>
      <c r="J245" s="3" t="s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/>
  </sheetViews>
  <sheetFormatPr baseColWidth="10" defaultColWidth="8.88671875" defaultRowHeight="14.4" x14ac:dyDescent="0.3"/>
  <cols>
    <col min="1" max="2" width="8" customWidth="1"/>
    <col min="3" max="3" width="28" customWidth="1"/>
    <col min="4" max="4" width="16" customWidth="1"/>
    <col min="5" max="5" width="12" customWidth="1"/>
    <col min="6" max="7" width="14" customWidth="1"/>
    <col min="8" max="8" width="10" customWidth="1"/>
    <col min="9" max="10" width="18" customWidth="1"/>
  </cols>
  <sheetData>
    <row r="1" spans="1:10" ht="28.8" x14ac:dyDescent="0.3">
      <c r="A1" s="8" t="s">
        <v>7</v>
      </c>
      <c r="B1" s="8" t="s">
        <v>501</v>
      </c>
      <c r="C1" s="8" t="s">
        <v>23</v>
      </c>
      <c r="D1" s="8" t="s">
        <v>502</v>
      </c>
      <c r="E1" s="8" t="s">
        <v>16</v>
      </c>
      <c r="F1" s="8" t="s">
        <v>503</v>
      </c>
      <c r="G1" s="8" t="s">
        <v>504</v>
      </c>
      <c r="H1" s="8" t="s">
        <v>505</v>
      </c>
      <c r="I1" s="8" t="s">
        <v>506</v>
      </c>
      <c r="J1" s="8" t="s">
        <v>507</v>
      </c>
    </row>
    <row r="2" spans="1:10" x14ac:dyDescent="0.3">
      <c r="A2" s="3" t="s">
        <v>43</v>
      </c>
      <c r="B2" s="3" t="s">
        <v>508</v>
      </c>
      <c r="C2" s="3" t="s">
        <v>509</v>
      </c>
      <c r="D2" s="3" t="s">
        <v>510</v>
      </c>
      <c r="E2" s="3" t="s">
        <v>511</v>
      </c>
      <c r="F2" s="3" t="s">
        <v>512</v>
      </c>
      <c r="G2" s="3">
        <v>64.52</v>
      </c>
      <c r="H2" s="3">
        <v>30.25</v>
      </c>
      <c r="I2" s="3">
        <v>45</v>
      </c>
      <c r="J2" s="3"/>
    </row>
    <row r="3" spans="1:10" x14ac:dyDescent="0.3">
      <c r="A3" s="3" t="s">
        <v>43</v>
      </c>
      <c r="B3" s="3" t="s">
        <v>513</v>
      </c>
      <c r="C3" s="3" t="s">
        <v>514</v>
      </c>
      <c r="D3" s="3" t="s">
        <v>118</v>
      </c>
      <c r="E3" s="3" t="s">
        <v>511</v>
      </c>
      <c r="F3" s="3" t="s">
        <v>515</v>
      </c>
      <c r="G3" s="3">
        <v>66.36</v>
      </c>
      <c r="H3" s="3">
        <v>30.68</v>
      </c>
      <c r="I3" s="3">
        <v>46</v>
      </c>
      <c r="J3" s="3"/>
    </row>
    <row r="4" spans="1:10" x14ac:dyDescent="0.3">
      <c r="A4" s="3" t="s">
        <v>43</v>
      </c>
      <c r="B4" s="3" t="s">
        <v>516</v>
      </c>
      <c r="C4" s="3" t="s">
        <v>517</v>
      </c>
      <c r="D4" s="3" t="s">
        <v>517</v>
      </c>
      <c r="E4" s="3" t="s">
        <v>511</v>
      </c>
      <c r="F4" s="3" t="s">
        <v>515</v>
      </c>
      <c r="G4" s="3">
        <v>66.36</v>
      </c>
      <c r="H4" s="3">
        <v>30.68</v>
      </c>
      <c r="I4" s="3">
        <v>46</v>
      </c>
      <c r="J4" s="3"/>
    </row>
    <row r="5" spans="1:10" x14ac:dyDescent="0.3">
      <c r="A5" s="3" t="s">
        <v>43</v>
      </c>
      <c r="B5" s="3" t="s">
        <v>518</v>
      </c>
      <c r="C5" s="3" t="s">
        <v>519</v>
      </c>
      <c r="D5" s="3" t="s">
        <v>157</v>
      </c>
      <c r="E5" s="3" t="s">
        <v>511</v>
      </c>
      <c r="F5" s="3" t="s">
        <v>520</v>
      </c>
      <c r="G5" s="3">
        <v>70.97</v>
      </c>
      <c r="H5" s="3">
        <v>25.32</v>
      </c>
      <c r="I5" s="3">
        <v>53</v>
      </c>
      <c r="J5" s="3"/>
    </row>
    <row r="6" spans="1:10" x14ac:dyDescent="0.3">
      <c r="A6" s="3" t="s">
        <v>43</v>
      </c>
      <c r="B6" s="3" t="s">
        <v>521</v>
      </c>
      <c r="C6" s="3" t="s">
        <v>522</v>
      </c>
      <c r="D6" s="3" t="s">
        <v>523</v>
      </c>
      <c r="E6" s="3" t="s">
        <v>511</v>
      </c>
      <c r="F6" s="3" t="s">
        <v>524</v>
      </c>
      <c r="G6" s="3">
        <v>78.34</v>
      </c>
      <c r="H6" s="3">
        <v>29.79</v>
      </c>
      <c r="I6" s="3">
        <v>53</v>
      </c>
      <c r="J6" s="3"/>
    </row>
    <row r="7" spans="1:10" x14ac:dyDescent="0.3">
      <c r="A7" s="3" t="s">
        <v>43</v>
      </c>
      <c r="B7" s="3" t="s">
        <v>525</v>
      </c>
      <c r="C7" s="3" t="s">
        <v>526</v>
      </c>
      <c r="D7" s="3" t="s">
        <v>369</v>
      </c>
      <c r="E7" s="3" t="s">
        <v>511</v>
      </c>
      <c r="F7" s="3" t="s">
        <v>527</v>
      </c>
      <c r="G7" s="3">
        <v>165.9</v>
      </c>
      <c r="H7" s="3">
        <v>27.67</v>
      </c>
      <c r="I7" s="3">
        <v>120</v>
      </c>
      <c r="J7" s="3"/>
    </row>
    <row r="8" spans="1:10" x14ac:dyDescent="0.3">
      <c r="A8" s="3" t="s">
        <v>43</v>
      </c>
      <c r="B8" s="3" t="s">
        <v>528</v>
      </c>
      <c r="C8" s="3" t="s">
        <v>485</v>
      </c>
      <c r="D8" s="3" t="s">
        <v>487</v>
      </c>
      <c r="E8" s="3" t="s">
        <v>511</v>
      </c>
      <c r="F8" s="3" t="s">
        <v>529</v>
      </c>
      <c r="G8" s="3">
        <v>70.97</v>
      </c>
      <c r="H8" s="3">
        <v>25.32</v>
      </c>
      <c r="I8" s="3">
        <v>53</v>
      </c>
      <c r="J8" s="3"/>
    </row>
    <row r="9" spans="1:10" x14ac:dyDescent="0.3">
      <c r="A9" s="3" t="s">
        <v>43</v>
      </c>
      <c r="B9" s="3" t="s">
        <v>530</v>
      </c>
      <c r="C9" s="3" t="s">
        <v>531</v>
      </c>
      <c r="D9" s="3" t="s">
        <v>531</v>
      </c>
      <c r="E9" s="3" t="s">
        <v>532</v>
      </c>
      <c r="F9" s="3" t="s">
        <v>532</v>
      </c>
      <c r="G9" s="3"/>
      <c r="H9" s="3"/>
      <c r="I9" s="3"/>
      <c r="J9" s="3"/>
    </row>
    <row r="10" spans="1:10" x14ac:dyDescent="0.3">
      <c r="A10" s="3" t="s">
        <v>45</v>
      </c>
      <c r="B10" s="3" t="s">
        <v>508</v>
      </c>
      <c r="C10" s="3" t="s">
        <v>533</v>
      </c>
      <c r="D10" s="3" t="s">
        <v>171</v>
      </c>
      <c r="E10" s="3" t="s">
        <v>511</v>
      </c>
      <c r="F10" s="3" t="s">
        <v>520</v>
      </c>
      <c r="G10" s="3">
        <v>71.89</v>
      </c>
      <c r="H10" s="3">
        <v>27.67</v>
      </c>
      <c r="I10" s="3">
        <v>52</v>
      </c>
      <c r="J10" s="3"/>
    </row>
    <row r="11" spans="1:10" x14ac:dyDescent="0.3">
      <c r="A11" s="3" t="s">
        <v>45</v>
      </c>
      <c r="B11" s="3" t="s">
        <v>534</v>
      </c>
      <c r="C11" s="3" t="s">
        <v>535</v>
      </c>
      <c r="D11" s="3" t="s">
        <v>378</v>
      </c>
      <c r="E11" s="3" t="s">
        <v>511</v>
      </c>
      <c r="F11" s="3" t="s">
        <v>536</v>
      </c>
      <c r="G11" s="3">
        <v>165.9</v>
      </c>
      <c r="H11" s="3">
        <v>28.87</v>
      </c>
      <c r="I11" s="3">
        <v>118</v>
      </c>
      <c r="J11" s="3"/>
    </row>
    <row r="12" spans="1:10" x14ac:dyDescent="0.3">
      <c r="A12" s="3" t="s">
        <v>45</v>
      </c>
      <c r="B12" s="3" t="s">
        <v>537</v>
      </c>
      <c r="C12" s="3" t="s">
        <v>538</v>
      </c>
      <c r="D12" s="3" t="s">
        <v>456</v>
      </c>
      <c r="E12" s="3" t="s">
        <v>511</v>
      </c>
      <c r="F12" s="3" t="s">
        <v>536</v>
      </c>
      <c r="G12" s="3">
        <v>207.37</v>
      </c>
      <c r="H12" s="3">
        <v>32.49</v>
      </c>
      <c r="I12" s="3">
        <v>140</v>
      </c>
      <c r="J12" s="3"/>
    </row>
    <row r="13" spans="1:10" x14ac:dyDescent="0.3">
      <c r="A13" s="3" t="s">
        <v>45</v>
      </c>
      <c r="B13" s="3" t="s">
        <v>539</v>
      </c>
      <c r="C13" s="3" t="s">
        <v>540</v>
      </c>
      <c r="D13" s="3" t="s">
        <v>541</v>
      </c>
      <c r="E13" s="3" t="s">
        <v>511</v>
      </c>
      <c r="F13" s="3" t="s">
        <v>542</v>
      </c>
      <c r="G13" s="3">
        <v>117.97</v>
      </c>
      <c r="H13" s="3">
        <v>27.95</v>
      </c>
      <c r="I13" s="3">
        <v>85</v>
      </c>
      <c r="J13" s="3"/>
    </row>
    <row r="14" spans="1:10" x14ac:dyDescent="0.3">
      <c r="A14" s="3" t="s">
        <v>45</v>
      </c>
      <c r="B14" s="3" t="s">
        <v>543</v>
      </c>
      <c r="C14" s="3" t="s">
        <v>544</v>
      </c>
      <c r="D14" s="3" t="s">
        <v>544</v>
      </c>
      <c r="E14" s="3" t="s">
        <v>511</v>
      </c>
      <c r="F14" s="3"/>
      <c r="G14" s="3">
        <v>108.52</v>
      </c>
      <c r="H14" s="3">
        <v>26</v>
      </c>
      <c r="I14" s="3">
        <v>80</v>
      </c>
      <c r="J14" s="3"/>
    </row>
    <row r="15" spans="1:10" x14ac:dyDescent="0.3">
      <c r="A15" s="3" t="s">
        <v>45</v>
      </c>
      <c r="B15" s="3" t="s">
        <v>545</v>
      </c>
      <c r="C15" s="3" t="s">
        <v>421</v>
      </c>
      <c r="D15" s="3" t="s">
        <v>423</v>
      </c>
      <c r="E15" s="3" t="s">
        <v>511</v>
      </c>
      <c r="F15" s="3" t="s">
        <v>542</v>
      </c>
      <c r="G15" s="3">
        <v>112.44</v>
      </c>
      <c r="H15" s="3">
        <v>27.07</v>
      </c>
      <c r="I15" s="3">
        <v>82</v>
      </c>
      <c r="J15" s="3"/>
    </row>
    <row r="16" spans="1:10" x14ac:dyDescent="0.3">
      <c r="A16" s="3" t="s">
        <v>45</v>
      </c>
      <c r="B16" s="3" t="s">
        <v>516</v>
      </c>
      <c r="C16" s="3" t="s">
        <v>147</v>
      </c>
      <c r="D16" s="3" t="s">
        <v>147</v>
      </c>
      <c r="E16" s="3" t="s">
        <v>511</v>
      </c>
      <c r="F16" s="3" t="s">
        <v>542</v>
      </c>
      <c r="G16" s="3">
        <v>115.21</v>
      </c>
      <c r="H16" s="3">
        <v>27.09</v>
      </c>
      <c r="I16" s="3">
        <v>84</v>
      </c>
      <c r="J16" s="3"/>
    </row>
    <row r="17" spans="1:10" x14ac:dyDescent="0.3">
      <c r="A17" s="3" t="s">
        <v>45</v>
      </c>
      <c r="B17" s="3" t="s">
        <v>521</v>
      </c>
      <c r="C17" s="3" t="s">
        <v>546</v>
      </c>
      <c r="D17" s="3" t="s">
        <v>547</v>
      </c>
      <c r="E17" s="3" t="s">
        <v>511</v>
      </c>
      <c r="F17" s="3" t="s">
        <v>527</v>
      </c>
      <c r="G17" s="3">
        <v>105.99</v>
      </c>
      <c r="H17" s="3">
        <v>25.49</v>
      </c>
      <c r="I17" s="3">
        <v>79</v>
      </c>
      <c r="J17" s="3"/>
    </row>
    <row r="18" spans="1:10" x14ac:dyDescent="0.3">
      <c r="A18" s="3" t="s">
        <v>45</v>
      </c>
      <c r="B18" s="3" t="s">
        <v>525</v>
      </c>
      <c r="C18" s="3" t="s">
        <v>198</v>
      </c>
      <c r="D18" s="3" t="s">
        <v>200</v>
      </c>
      <c r="E18" s="3" t="s">
        <v>511</v>
      </c>
      <c r="F18" s="3" t="s">
        <v>542</v>
      </c>
      <c r="G18" s="3">
        <v>105.99</v>
      </c>
      <c r="H18" s="3">
        <v>25.49</v>
      </c>
      <c r="I18" s="3">
        <v>79</v>
      </c>
      <c r="J18" s="3"/>
    </row>
    <row r="19" spans="1:10" x14ac:dyDescent="0.3">
      <c r="A19" s="3" t="s">
        <v>45</v>
      </c>
      <c r="B19" s="3" t="s">
        <v>548</v>
      </c>
      <c r="C19" s="3" t="s">
        <v>549</v>
      </c>
      <c r="D19" s="3" t="s">
        <v>550</v>
      </c>
      <c r="E19" s="3" t="s">
        <v>511</v>
      </c>
      <c r="F19" s="3" t="s">
        <v>542</v>
      </c>
      <c r="G19" s="3">
        <v>129.03</v>
      </c>
      <c r="H19" s="3">
        <v>31.02</v>
      </c>
      <c r="I19" s="3">
        <v>89</v>
      </c>
      <c r="J19" s="3"/>
    </row>
    <row r="20" spans="1:10" x14ac:dyDescent="0.3">
      <c r="A20" s="3" t="s">
        <v>45</v>
      </c>
      <c r="B20" s="3" t="s">
        <v>551</v>
      </c>
      <c r="C20" s="3" t="s">
        <v>552</v>
      </c>
      <c r="D20" s="3" t="s">
        <v>138</v>
      </c>
      <c r="E20" s="3" t="s">
        <v>511</v>
      </c>
      <c r="F20" s="3" t="s">
        <v>542</v>
      </c>
      <c r="G20" s="3">
        <v>133.63999999999999</v>
      </c>
      <c r="H20" s="3">
        <v>26.67</v>
      </c>
      <c r="I20" s="3">
        <v>98</v>
      </c>
      <c r="J20" s="3"/>
    </row>
    <row r="21" spans="1:10" x14ac:dyDescent="0.3">
      <c r="A21" s="3" t="s">
        <v>45</v>
      </c>
      <c r="B21" s="3" t="s">
        <v>553</v>
      </c>
      <c r="C21" s="3" t="s">
        <v>86</v>
      </c>
      <c r="D21" s="3" t="s">
        <v>88</v>
      </c>
      <c r="E21" s="3" t="s">
        <v>511</v>
      </c>
      <c r="F21" s="3" t="s">
        <v>554</v>
      </c>
      <c r="G21" s="3">
        <v>117.97</v>
      </c>
      <c r="H21" s="3">
        <v>27.95</v>
      </c>
      <c r="I21" s="3">
        <v>85</v>
      </c>
      <c r="J21" s="3"/>
    </row>
    <row r="22" spans="1:10" x14ac:dyDescent="0.3">
      <c r="A22" s="3" t="s">
        <v>45</v>
      </c>
      <c r="B22" s="3" t="s">
        <v>555</v>
      </c>
      <c r="C22" s="3" t="s">
        <v>73</v>
      </c>
      <c r="D22" s="3" t="s">
        <v>75</v>
      </c>
      <c r="E22" s="3" t="s">
        <v>511</v>
      </c>
      <c r="F22" s="3" t="s">
        <v>556</v>
      </c>
      <c r="G22" s="3">
        <v>105.99</v>
      </c>
      <c r="H22" s="3">
        <v>25.49</v>
      </c>
      <c r="I22" s="3">
        <v>79</v>
      </c>
      <c r="J22" s="3"/>
    </row>
    <row r="23" spans="1:10" x14ac:dyDescent="0.3">
      <c r="A23" s="3" t="s">
        <v>45</v>
      </c>
      <c r="B23" s="3" t="s">
        <v>557</v>
      </c>
      <c r="C23" s="3" t="s">
        <v>388</v>
      </c>
      <c r="D23" s="3" t="s">
        <v>390</v>
      </c>
      <c r="E23" s="3" t="s">
        <v>511</v>
      </c>
      <c r="F23" s="3" t="s">
        <v>558</v>
      </c>
      <c r="G23" s="3">
        <v>165.9</v>
      </c>
      <c r="H23" s="3">
        <v>28.87</v>
      </c>
      <c r="I23" s="3">
        <v>118</v>
      </c>
      <c r="J23" s="3"/>
    </row>
    <row r="24" spans="1:10" x14ac:dyDescent="0.3">
      <c r="A24" s="3" t="s">
        <v>45</v>
      </c>
      <c r="B24" s="3" t="s">
        <v>559</v>
      </c>
      <c r="C24" s="3" t="s">
        <v>103</v>
      </c>
      <c r="D24" s="3" t="s">
        <v>103</v>
      </c>
      <c r="E24" s="3" t="s">
        <v>511</v>
      </c>
      <c r="F24" s="3" t="s">
        <v>560</v>
      </c>
      <c r="G24" s="3">
        <v>71.89</v>
      </c>
      <c r="H24" s="3">
        <v>27.67</v>
      </c>
      <c r="I24" s="3">
        <v>52</v>
      </c>
      <c r="J24" s="3"/>
    </row>
    <row r="25" spans="1:10" x14ac:dyDescent="0.3">
      <c r="A25" s="3" t="s">
        <v>45</v>
      </c>
      <c r="B25" s="3" t="s">
        <v>530</v>
      </c>
      <c r="C25" s="3" t="s">
        <v>80</v>
      </c>
      <c r="D25" s="3" t="s">
        <v>80</v>
      </c>
      <c r="E25" s="3" t="s">
        <v>532</v>
      </c>
      <c r="F25" s="3" t="s">
        <v>532</v>
      </c>
      <c r="G25" s="3"/>
      <c r="H25" s="3"/>
      <c r="I25" s="3"/>
      <c r="J25" s="3"/>
    </row>
    <row r="26" spans="1:10" x14ac:dyDescent="0.3">
      <c r="A26" s="3" t="s">
        <v>47</v>
      </c>
      <c r="B26" s="3" t="s">
        <v>561</v>
      </c>
      <c r="C26" s="3" t="s">
        <v>62</v>
      </c>
      <c r="D26" s="3" t="s">
        <v>64</v>
      </c>
      <c r="E26" s="3" t="s">
        <v>562</v>
      </c>
      <c r="F26" s="3" t="s">
        <v>563</v>
      </c>
      <c r="G26" s="3"/>
      <c r="H26" s="3"/>
      <c r="I26" s="3"/>
      <c r="J26" s="3"/>
    </row>
    <row r="27" spans="1:10" x14ac:dyDescent="0.3">
      <c r="A27" s="3" t="s">
        <v>47</v>
      </c>
      <c r="B27" s="3" t="s">
        <v>564</v>
      </c>
      <c r="C27" s="3" t="s">
        <v>65</v>
      </c>
      <c r="D27" s="3" t="s">
        <v>67</v>
      </c>
      <c r="E27" s="3" t="s">
        <v>562</v>
      </c>
      <c r="F27" s="3" t="s">
        <v>565</v>
      </c>
      <c r="G27" s="3"/>
      <c r="H27" s="3"/>
      <c r="I27" s="3"/>
      <c r="J27" s="3"/>
    </row>
    <row r="28" spans="1:10" x14ac:dyDescent="0.3">
      <c r="A28" s="3" t="s">
        <v>47</v>
      </c>
      <c r="B28" s="3" t="s">
        <v>566</v>
      </c>
      <c r="C28" s="3" t="s">
        <v>129</v>
      </c>
      <c r="D28" s="3" t="s">
        <v>131</v>
      </c>
      <c r="E28" s="3" t="s">
        <v>562</v>
      </c>
      <c r="F28" s="3" t="s">
        <v>567</v>
      </c>
      <c r="G28" s="3"/>
      <c r="H28" s="3"/>
      <c r="I28" s="3"/>
      <c r="J28" s="3"/>
    </row>
    <row r="29" spans="1:10" x14ac:dyDescent="0.3">
      <c r="A29" s="3" t="s">
        <v>47</v>
      </c>
      <c r="B29" s="3" t="s">
        <v>568</v>
      </c>
      <c r="C29" s="3" t="s">
        <v>96</v>
      </c>
      <c r="D29" s="3" t="s">
        <v>98</v>
      </c>
      <c r="E29" s="3" t="s">
        <v>562</v>
      </c>
      <c r="F29" s="3" t="s">
        <v>569</v>
      </c>
      <c r="G29" s="3"/>
      <c r="H29" s="3"/>
      <c r="I29" s="3"/>
      <c r="J2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ColWidth="8.88671875" defaultRowHeight="14.4" x14ac:dyDescent="0.3"/>
  <cols>
    <col min="1" max="1" width="8" customWidth="1"/>
    <col min="2" max="2" width="42" customWidth="1"/>
  </cols>
  <sheetData>
    <row r="1" spans="1:6" ht="43.2" x14ac:dyDescent="0.3">
      <c r="A1" s="8" t="s">
        <v>7</v>
      </c>
      <c r="B1" s="8" t="s">
        <v>570</v>
      </c>
      <c r="C1" s="8" t="s">
        <v>571</v>
      </c>
      <c r="D1" s="8" t="s">
        <v>505</v>
      </c>
      <c r="E1" s="8" t="s">
        <v>572</v>
      </c>
      <c r="F1" t="s">
        <v>573</v>
      </c>
    </row>
    <row r="2" spans="1:6" x14ac:dyDescent="0.3">
      <c r="A2" s="3" t="s">
        <v>43</v>
      </c>
      <c r="B2" s="3" t="s">
        <v>574</v>
      </c>
      <c r="C2" s="3">
        <v>9.2200000000000006</v>
      </c>
      <c r="D2" s="3">
        <v>50</v>
      </c>
      <c r="E2" s="3">
        <v>4.6100000000000003</v>
      </c>
      <c r="F2" t="s">
        <v>575</v>
      </c>
    </row>
    <row r="3" spans="1:6" x14ac:dyDescent="0.3">
      <c r="A3" s="3" t="s">
        <v>43</v>
      </c>
      <c r="B3" s="3" t="s">
        <v>576</v>
      </c>
      <c r="C3" s="3">
        <v>73.73</v>
      </c>
      <c r="D3" s="3">
        <v>36.869999999999997</v>
      </c>
      <c r="E3" s="3">
        <v>50</v>
      </c>
      <c r="F3" t="s">
        <v>577</v>
      </c>
    </row>
    <row r="4" spans="1:6" x14ac:dyDescent="0.3">
      <c r="A4" s="3" t="s">
        <v>43</v>
      </c>
      <c r="B4" s="3" t="s">
        <v>578</v>
      </c>
      <c r="C4" s="3">
        <v>63.59</v>
      </c>
      <c r="D4" s="3">
        <v>21.37</v>
      </c>
      <c r="E4" s="3">
        <v>50</v>
      </c>
      <c r="F4" t="s">
        <v>579</v>
      </c>
    </row>
    <row r="5" spans="1:6" x14ac:dyDescent="0.3">
      <c r="A5" s="3" t="s">
        <v>43</v>
      </c>
      <c r="B5" s="3" t="s">
        <v>580</v>
      </c>
      <c r="C5" s="3">
        <v>0</v>
      </c>
      <c r="D5" s="3">
        <v>100</v>
      </c>
      <c r="E5" s="3">
        <v>0</v>
      </c>
      <c r="F5" t="s">
        <v>581</v>
      </c>
    </row>
    <row r="6" spans="1:6" x14ac:dyDescent="0.3">
      <c r="A6" s="3" t="s">
        <v>43</v>
      </c>
      <c r="B6" s="3" t="s">
        <v>582</v>
      </c>
      <c r="C6" s="3">
        <v>0</v>
      </c>
      <c r="D6" s="3">
        <v>100</v>
      </c>
      <c r="E6" s="3">
        <v>0</v>
      </c>
      <c r="F6" t="s">
        <v>583</v>
      </c>
    </row>
    <row r="7" spans="1:6" x14ac:dyDescent="0.3">
      <c r="A7" s="3" t="s">
        <v>43</v>
      </c>
      <c r="B7" s="3" t="s">
        <v>584</v>
      </c>
      <c r="C7" s="3">
        <v>0</v>
      </c>
      <c r="D7" s="3">
        <v>100</v>
      </c>
      <c r="E7" s="3">
        <v>0</v>
      </c>
      <c r="F7" t="s">
        <v>585</v>
      </c>
    </row>
    <row r="8" spans="1:6" x14ac:dyDescent="0.3">
      <c r="A8" s="3" t="s">
        <v>43</v>
      </c>
      <c r="B8" s="3" t="s">
        <v>586</v>
      </c>
      <c r="C8" s="3">
        <v>0</v>
      </c>
      <c r="D8" s="3">
        <v>100</v>
      </c>
      <c r="E8" s="3">
        <v>0</v>
      </c>
      <c r="F8" t="s">
        <v>587</v>
      </c>
    </row>
    <row r="9" spans="1:6" x14ac:dyDescent="0.3">
      <c r="A9" s="3" t="s">
        <v>45</v>
      </c>
      <c r="B9" s="3" t="s">
        <v>574</v>
      </c>
      <c r="C9" s="3">
        <v>9.2200000000000006</v>
      </c>
      <c r="D9" s="3">
        <v>50</v>
      </c>
      <c r="E9" s="3">
        <v>4.6100000000000003</v>
      </c>
      <c r="F9" t="s">
        <v>588</v>
      </c>
    </row>
    <row r="10" spans="1:6" x14ac:dyDescent="0.3">
      <c r="A10" s="3" t="s">
        <v>45</v>
      </c>
      <c r="B10" s="3" t="s">
        <v>576</v>
      </c>
      <c r="C10" s="3">
        <v>73.73</v>
      </c>
      <c r="D10" s="3">
        <v>36.869999999999997</v>
      </c>
      <c r="E10" s="3">
        <v>40</v>
      </c>
      <c r="F10" t="s">
        <v>589</v>
      </c>
    </row>
    <row r="11" spans="1:6" x14ac:dyDescent="0.3">
      <c r="A11" s="3" t="s">
        <v>45</v>
      </c>
      <c r="B11" s="3" t="s">
        <v>578</v>
      </c>
      <c r="C11" s="3">
        <v>63.59</v>
      </c>
      <c r="D11" s="3">
        <v>21.37</v>
      </c>
      <c r="E11" s="3">
        <v>50</v>
      </c>
      <c r="F11" t="s">
        <v>590</v>
      </c>
    </row>
    <row r="12" spans="1:6" x14ac:dyDescent="0.3">
      <c r="A12" s="3" t="s">
        <v>45</v>
      </c>
      <c r="B12" s="3" t="s">
        <v>580</v>
      </c>
      <c r="C12" s="3">
        <v>0</v>
      </c>
      <c r="D12" s="3">
        <v>100</v>
      </c>
      <c r="E12" s="3">
        <v>0</v>
      </c>
      <c r="F12" t="s">
        <v>591</v>
      </c>
    </row>
    <row r="13" spans="1:6" x14ac:dyDescent="0.3">
      <c r="A13" s="3" t="s">
        <v>45</v>
      </c>
      <c r="B13" s="3" t="s">
        <v>582</v>
      </c>
      <c r="C13" s="3">
        <v>0</v>
      </c>
      <c r="D13" s="3">
        <v>100</v>
      </c>
      <c r="E13" s="3">
        <v>0</v>
      </c>
      <c r="F13" t="s">
        <v>592</v>
      </c>
    </row>
    <row r="14" spans="1:6" x14ac:dyDescent="0.3">
      <c r="A14" s="3" t="s">
        <v>45</v>
      </c>
      <c r="B14" s="3" t="s">
        <v>584</v>
      </c>
      <c r="C14" s="3">
        <v>0</v>
      </c>
      <c r="D14" s="3">
        <v>100</v>
      </c>
      <c r="E14" s="3">
        <v>0</v>
      </c>
      <c r="F14" t="s">
        <v>593</v>
      </c>
    </row>
    <row r="15" spans="1:6" x14ac:dyDescent="0.3">
      <c r="A15" s="3" t="s">
        <v>45</v>
      </c>
      <c r="B15" s="3" t="s">
        <v>586</v>
      </c>
      <c r="C15" s="3">
        <v>0</v>
      </c>
      <c r="D15" s="3">
        <v>100</v>
      </c>
      <c r="E15" s="3">
        <v>0</v>
      </c>
      <c r="F15" t="s">
        <v>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baseColWidth="10" defaultColWidth="8.88671875" defaultRowHeight="14.4" x14ac:dyDescent="0.3"/>
  <cols>
    <col min="1" max="1" width="10" customWidth="1"/>
    <col min="2" max="2" width="26" customWidth="1"/>
    <col min="3" max="3" width="36" customWidth="1"/>
    <col min="4" max="4" width="32" customWidth="1"/>
    <col min="5" max="6" width="14" customWidth="1"/>
    <col min="7" max="7" width="28" customWidth="1"/>
  </cols>
  <sheetData>
    <row r="1" spans="1:7" x14ac:dyDescent="0.3">
      <c r="A1" s="8" t="s">
        <v>7</v>
      </c>
      <c r="B1" s="8" t="s">
        <v>595</v>
      </c>
      <c r="C1" s="8" t="s">
        <v>596</v>
      </c>
      <c r="D1" s="8" t="s">
        <v>32</v>
      </c>
      <c r="E1" s="8" t="s">
        <v>597</v>
      </c>
      <c r="F1" s="8" t="s">
        <v>598</v>
      </c>
      <c r="G1" s="8" t="s">
        <v>599</v>
      </c>
    </row>
    <row r="2" spans="1:7" x14ac:dyDescent="0.3">
      <c r="A2" s="3" t="s">
        <v>600</v>
      </c>
      <c r="B2" s="3" t="s">
        <v>9</v>
      </c>
      <c r="C2" s="3" t="s">
        <v>601</v>
      </c>
      <c r="D2" s="3" t="s">
        <v>602</v>
      </c>
      <c r="E2" s="3" t="s">
        <v>603</v>
      </c>
      <c r="F2" s="3" t="s">
        <v>604</v>
      </c>
      <c r="G2" s="3" t="s">
        <v>605</v>
      </c>
    </row>
    <row r="3" spans="1:7" x14ac:dyDescent="0.3">
      <c r="A3" s="3" t="s">
        <v>600</v>
      </c>
      <c r="B3" s="3" t="s">
        <v>606</v>
      </c>
      <c r="C3" s="3" t="s">
        <v>607</v>
      </c>
      <c r="D3" s="3" t="s">
        <v>608</v>
      </c>
      <c r="E3" s="3" t="s">
        <v>603</v>
      </c>
      <c r="F3" s="3" t="s">
        <v>604</v>
      </c>
      <c r="G3" s="3" t="s">
        <v>605</v>
      </c>
    </row>
    <row r="4" spans="1:7" x14ac:dyDescent="0.3">
      <c r="A4" s="3" t="s">
        <v>600</v>
      </c>
      <c r="B4" s="3" t="s">
        <v>609</v>
      </c>
      <c r="C4" s="3" t="s">
        <v>610</v>
      </c>
      <c r="D4" s="3" t="s">
        <v>611</v>
      </c>
      <c r="E4" s="3" t="s">
        <v>603</v>
      </c>
      <c r="F4" s="3" t="s">
        <v>604</v>
      </c>
      <c r="G4" s="3" t="s">
        <v>605</v>
      </c>
    </row>
    <row r="5" spans="1:7" x14ac:dyDescent="0.3">
      <c r="A5" s="3" t="s">
        <v>600</v>
      </c>
      <c r="B5" s="3" t="s">
        <v>612</v>
      </c>
      <c r="C5" s="3" t="s">
        <v>613</v>
      </c>
      <c r="D5" s="3" t="s">
        <v>614</v>
      </c>
      <c r="E5" s="3" t="s">
        <v>603</v>
      </c>
      <c r="F5" s="3" t="s">
        <v>604</v>
      </c>
      <c r="G5" s="3" t="s">
        <v>605</v>
      </c>
    </row>
    <row r="6" spans="1:7" x14ac:dyDescent="0.3">
      <c r="A6" s="3" t="s">
        <v>600</v>
      </c>
      <c r="B6" s="3" t="s">
        <v>615</v>
      </c>
      <c r="C6" s="3" t="s">
        <v>616</v>
      </c>
      <c r="D6" s="3" t="s">
        <v>617</v>
      </c>
      <c r="E6" s="3" t="s">
        <v>603</v>
      </c>
      <c r="F6" s="3" t="s">
        <v>604</v>
      </c>
      <c r="G6" s="3" t="s">
        <v>605</v>
      </c>
    </row>
    <row r="7" spans="1:7" x14ac:dyDescent="0.3">
      <c r="A7" s="3" t="s">
        <v>47</v>
      </c>
      <c r="B7" s="3" t="s">
        <v>618</v>
      </c>
      <c r="C7" s="3" t="s">
        <v>619</v>
      </c>
      <c r="D7" s="3" t="s">
        <v>620</v>
      </c>
      <c r="E7" s="3"/>
      <c r="F7" s="3" t="s">
        <v>621</v>
      </c>
      <c r="G7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/>
  </sheetViews>
  <sheetFormatPr baseColWidth="10" defaultColWidth="8.88671875" defaultRowHeight="14.4" x14ac:dyDescent="0.3"/>
  <sheetData>
    <row r="1" spans="1:8" ht="28.8" x14ac:dyDescent="0.3">
      <c r="A1" s="8" t="s">
        <v>622</v>
      </c>
      <c r="B1" s="8" t="s">
        <v>2</v>
      </c>
      <c r="C1" s="8" t="s">
        <v>623</v>
      </c>
      <c r="D1" s="8" t="s">
        <v>7</v>
      </c>
      <c r="E1" s="8" t="s">
        <v>595</v>
      </c>
      <c r="F1" s="8" t="s">
        <v>624</v>
      </c>
      <c r="G1" s="8" t="s">
        <v>26</v>
      </c>
      <c r="H1" s="8" t="s">
        <v>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2"/>
  <sheetViews>
    <sheetView workbookViewId="0"/>
  </sheetViews>
  <sheetFormatPr baseColWidth="10" defaultColWidth="8.88671875" defaultRowHeight="14.4" x14ac:dyDescent="0.3"/>
  <cols>
    <col min="1" max="1" width="95" customWidth="1"/>
  </cols>
  <sheetData>
    <row r="1" spans="1:1" ht="18" x14ac:dyDescent="0.35">
      <c r="A1" s="1" t="s">
        <v>626</v>
      </c>
    </row>
    <row r="3" spans="1:1" x14ac:dyDescent="0.3">
      <c r="A3" t="s">
        <v>627</v>
      </c>
    </row>
    <row r="4" spans="1:1" x14ac:dyDescent="0.3">
      <c r="A4" t="s">
        <v>628</v>
      </c>
    </row>
    <row r="5" spans="1:1" x14ac:dyDescent="0.3">
      <c r="A5" t="s">
        <v>629</v>
      </c>
    </row>
    <row r="6" spans="1:1" x14ac:dyDescent="0.3">
      <c r="A6" t="s">
        <v>630</v>
      </c>
    </row>
    <row r="7" spans="1:1" x14ac:dyDescent="0.3">
      <c r="A7" t="s">
        <v>631</v>
      </c>
    </row>
    <row r="9" spans="1:1" x14ac:dyDescent="0.3">
      <c r="A9" t="s">
        <v>632</v>
      </c>
    </row>
    <row r="11" spans="1:1" x14ac:dyDescent="0.3">
      <c r="A11" t="s">
        <v>633</v>
      </c>
    </row>
    <row r="12" spans="1:1" x14ac:dyDescent="0.3">
      <c r="A12" t="s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3</vt:i4>
      </vt:variant>
    </vt:vector>
  </HeadingPairs>
  <TitlesOfParts>
    <vt:vector size="11" baseType="lpstr">
      <vt:lpstr>SAISIE</vt:lpstr>
      <vt:lpstr>MARCHE</vt:lpstr>
      <vt:lpstr>VEHICULES</vt:lpstr>
      <vt:lpstr>TARIFS_PNEUS</vt:lpstr>
      <vt:lpstr>TARIFS_PRESTATIONS</vt:lpstr>
      <vt:lpstr>CENTRES</vt:lpstr>
      <vt:lpstr>HISTORIQUE</vt:lpstr>
      <vt:lpstr>OUTLOOK_MACRO</vt:lpstr>
      <vt:lpstr>CENTRES_LIST</vt:lpstr>
      <vt:lpstr>PRESTATIONS_LIST</vt:lpstr>
      <vt:lpstr>VEHICULES_LIST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URSULET Maric</cp:lastModifiedBy>
  <dcterms:created xsi:type="dcterms:W3CDTF">2026-06-02T18:45:29Z</dcterms:created>
  <dcterms:modified xsi:type="dcterms:W3CDTF">2026-06-02T20:55:56Z</dcterms:modified>
</cp:coreProperties>
</file>